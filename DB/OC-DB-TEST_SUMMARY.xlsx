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ed\Desktop\MANUAL PROJECT\opencart\final fill\DB\"/>
    </mc:Choice>
  </mc:AlternateContent>
  <xr:revisionPtr revIDLastSave="0" documentId="13_ncr:1_{13790B89-F86B-4D17-BB3C-62C87006F2B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📈 Dashboar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1" l="1"/>
  <c r="D25" i="1"/>
  <c r="C19" i="1"/>
  <c r="C18" i="1"/>
  <c r="C17" i="1"/>
  <c r="C16" i="1"/>
</calcChain>
</file>

<file path=xl/sharedStrings.xml><?xml version="1.0" encoding="utf-8"?>
<sst xmlns="http://schemas.openxmlformats.org/spreadsheetml/2006/main" count="37" uniqueCount="36">
  <si>
    <t xml:space="preserve">  📈  TEST EXECUTION SUMMARY</t>
  </si>
  <si>
    <t>Total Test Cases</t>
  </si>
  <si>
    <t>P0 – Blocker</t>
  </si>
  <si>
    <t>P1 – High Risk</t>
  </si>
  <si>
    <t>P2 – Medium Risk</t>
  </si>
  <si>
    <t>P3 – Low Risk</t>
  </si>
  <si>
    <t xml:space="preserve">  ✅  EXECUTION STATUS TRACKER</t>
  </si>
  <si>
    <t>Pass</t>
  </si>
  <si>
    <t>Fail</t>
  </si>
  <si>
    <t>Blocked</t>
  </si>
  <si>
    <t>Pending</t>
  </si>
  <si>
    <t>In Progress</t>
  </si>
  <si>
    <t xml:space="preserve">  📋  TEST PROGRESS</t>
  </si>
  <si>
    <t>Metric</t>
  </si>
  <si>
    <t>Value</t>
  </si>
  <si>
    <t>Formula</t>
  </si>
  <si>
    <t>Pass Rate (%)</t>
  </si>
  <si>
    <t>(Pass / Total) × 100</t>
  </si>
  <si>
    <t>Fail Rate (%)</t>
  </si>
  <si>
    <t>(Fail / Total) × 100</t>
  </si>
  <si>
    <t>Execution Rate (%)</t>
  </si>
  <si>
    <t>(Pass + Fail + Blocked + In Progress) / Total × 100</t>
  </si>
  <si>
    <t>Remaining Cases</t>
  </si>
  <si>
    <t>Not Executed count</t>
  </si>
  <si>
    <t xml:space="preserve">  🐞  BUG / DEFECT SUMMARY</t>
  </si>
  <si>
    <t>Count</t>
  </si>
  <si>
    <t>% of Total</t>
  </si>
  <si>
    <t>Notes</t>
  </si>
  <si>
    <t>Total Bugs Logged</t>
  </si>
  <si>
    <t>—</t>
  </si>
  <si>
    <t>All logged defects</t>
  </si>
  <si>
    <t>Critical P0 + High P1 Open</t>
  </si>
  <si>
    <t>Must be ZERO before sign-off</t>
  </si>
  <si>
    <t>Open Bugs (All Priorities)</t>
  </si>
  <si>
    <t>Currently unresolved</t>
  </si>
  <si>
    <t>Test Execution Dashboard — OpenCart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</si>
</sst>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b/>
      <sz val="12"/>
      <color rgb="FF1A2B3C"/>
      <name val="Arial"/>
      <charset val="1"/>
    </font>
    <font>
      <b/>
      <sz val="16"/>
      <color rgb="FFFFFFFF"/>
      <name val="Arial"/>
      <charset val="1"/>
    </font>
    <font>
      <b/>
      <sz val="14"/>
      <color rgb="FF1A2B3C"/>
      <name val="Arial"/>
      <charset val="1"/>
    </font>
    <font>
      <b/>
      <sz val="9"/>
      <color rgb="FF1E88C8"/>
      <name val="Arial"/>
      <charset val="1"/>
    </font>
    <font>
      <sz val="9"/>
      <color rgb="FF1A2B3C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A3A5C"/>
        <bgColor rgb="FF1A2B3C"/>
      </patternFill>
    </fill>
    <fill>
      <patternFill patternType="solid">
        <fgColor rgb="FF1E88C8"/>
        <bgColor rgb="FF0099CC"/>
      </patternFill>
    </fill>
    <fill>
      <patternFill patternType="solid">
        <fgColor rgb="FF2EA6D5"/>
        <bgColor rgb="FF1E88C8"/>
      </patternFill>
    </fill>
    <fill>
      <patternFill patternType="solid">
        <fgColor rgb="FFFADBD8"/>
        <bgColor rgb="FFFEF5E7"/>
      </patternFill>
    </fill>
    <fill>
      <patternFill patternType="solid">
        <fgColor rgb="FFFEF5E7"/>
        <bgColor rgb="FFF2F3F4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0099CC"/>
        <bgColor rgb="FF1E88C8"/>
      </patternFill>
    </fill>
    <fill>
      <patternFill patternType="solid">
        <fgColor rgb="FFC0392B"/>
        <bgColor rgb="FFD35400"/>
      </patternFill>
    </fill>
    <fill>
      <patternFill patternType="solid">
        <fgColor rgb="FFD35400"/>
        <bgColor rgb="FFC0392B"/>
      </patternFill>
    </fill>
    <fill>
      <patternFill patternType="solid">
        <fgColor rgb="FF1A6FA0"/>
        <bgColor rgb="FF1E88C8"/>
      </patternFill>
    </fill>
    <fill>
      <patternFill patternType="solid">
        <fgColor rgb="FF1E8449"/>
        <bgColor rgb="FF008000"/>
      </patternFill>
    </fill>
    <fill>
      <patternFill patternType="solid">
        <fgColor rgb="FFF2F3F4"/>
        <bgColor rgb="FFF4F9FD"/>
      </patternFill>
    </fill>
    <fill>
      <patternFill patternType="solid">
        <fgColor rgb="FFE8F4FB"/>
        <bgColor rgb="FFF2F3F4"/>
      </patternFill>
    </fill>
    <fill>
      <patternFill patternType="solid">
        <fgColor rgb="FFF4F9FD"/>
        <bgColor rgb="FFF2F3F4"/>
      </patternFill>
    </fill>
  </fills>
  <borders count="2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center" vertical="center" wrapText="1"/>
    </xf>
    <xf numFmtId="0" fontId="4" fillId="13" borderId="0" xfId="0" applyFont="1" applyFill="1" applyBorder="1" applyAlignment="1">
      <alignment horizontal="center" vertical="center" wrapText="1"/>
    </xf>
    <xf numFmtId="0" fontId="3" fillId="14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14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2" fillId="3" borderId="0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0" fontId="7" fillId="15" borderId="0" xfId="0" applyFont="1" applyFill="1" applyBorder="1" applyAlignment="1">
      <alignment horizontal="center" vertical="center" wrapText="1"/>
    </xf>
    <xf numFmtId="0" fontId="7" fillId="15" borderId="0" xfId="0" applyFont="1" applyFill="1" applyBorder="1" applyAlignment="1">
      <alignment horizontal="left" vertical="center" wrapText="1"/>
    </xf>
    <xf numFmtId="0" fontId="7" fillId="16" borderId="0" xfId="0" applyFont="1" applyFill="1" applyBorder="1" applyAlignment="1">
      <alignment horizontal="center" vertical="center" wrapText="1"/>
    </xf>
    <xf numFmtId="0" fontId="7" fillId="16" borderId="0" xfId="0" applyFont="1" applyFill="1" applyBorder="1" applyAlignment="1">
      <alignment horizontal="left" vertical="center" wrapText="1"/>
    </xf>
    <xf numFmtId="0" fontId="2" fillId="9" borderId="0" xfId="0" applyFont="1" applyFill="1" applyBorder="1" applyAlignment="1">
      <alignment horizontal="left" vertical="center" wrapText="1"/>
    </xf>
    <xf numFmtId="0" fontId="7" fillId="15" borderId="0" xfId="0" applyFont="1" applyFill="1" applyBorder="1" applyAlignment="1">
      <alignment horizontal="center" vertical="center"/>
    </xf>
    <xf numFmtId="0" fontId="7" fillId="16" borderId="0" xfId="0" applyFont="1" applyFill="1" applyBorder="1" applyAlignment="1">
      <alignment horizontal="center" vertical="center"/>
    </xf>
    <xf numFmtId="0" fontId="6" fillId="15" borderId="0" xfId="0" applyFont="1" applyFill="1" applyBorder="1" applyAlignment="1">
      <alignment horizontal="center" vertical="center" wrapText="1"/>
    </xf>
    <xf numFmtId="0" fontId="6" fillId="16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8C8"/>
      <rgbColor rgb="FFF4F9FD"/>
      <rgbColor rgb="FF808080"/>
      <rgbColor rgb="FF9999FF"/>
      <rgbColor rgb="FF993366"/>
      <rgbColor rgb="FFFEF5E7"/>
      <rgbColor rgb="FFD6EAF8"/>
      <rgbColor rgb="FF660066"/>
      <rgbColor rgb="FFFF8080"/>
      <rgbColor rgb="FF1A6FA0"/>
      <rgbColor rgb="FFD0D7DE"/>
      <rgbColor rgb="FF000080"/>
      <rgbColor rgb="FFFF00FF"/>
      <rgbColor rgb="FFFFFF00"/>
      <rgbColor rgb="FF00FFFF"/>
      <rgbColor rgb="FF800080"/>
      <rgbColor rgb="FF800000"/>
      <rgbColor rgb="FF0099CC"/>
      <rgbColor rgb="FF0000FF"/>
      <rgbColor rgb="FF00CCFF"/>
      <rgbColor rgb="FFE8F4FB"/>
      <rgbColor rgb="FFD5F5E3"/>
      <rgbColor rgb="FFF2F3F4"/>
      <rgbColor rgb="FF99CCFF"/>
      <rgbColor rgb="FFFF99CC"/>
      <rgbColor rgb="FFCC99FF"/>
      <rgbColor rgb="FFFADBD8"/>
      <rgbColor rgb="FF3366FF"/>
      <rgbColor rgb="FF2EA6D5"/>
      <rgbColor rgb="FF99CC00"/>
      <rgbColor rgb="FFFFCC00"/>
      <rgbColor rgb="FFFF9900"/>
      <rgbColor rgb="FFD35400"/>
      <rgbColor rgb="FF666699"/>
      <rgbColor rgb="FF969696"/>
      <rgbColor rgb="FF1A3A5C"/>
      <rgbColor rgb="FF1E8449"/>
      <rgbColor rgb="FF003300"/>
      <rgbColor rgb="FF333300"/>
      <rgbColor rgb="FFC0392B"/>
      <rgbColor rgb="FF993366"/>
      <rgbColor rgb="FF333399"/>
      <rgbColor rgb="FF1A2B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7"/>
  <sheetViews>
    <sheetView tabSelected="1" topLeftCell="A10" zoomScaleNormal="100" workbookViewId="0">
      <selection activeCell="H5" sqref="H5"/>
    </sheetView>
  </sheetViews>
  <sheetFormatPr defaultColWidth="8.6640625" defaultRowHeight="14.4" x14ac:dyDescent="0.3"/>
  <cols>
    <col min="1" max="1" width="8" customWidth="1"/>
    <col min="2" max="2" width="31.88671875" customWidth="1"/>
    <col min="3" max="3" width="32.5546875" customWidth="1"/>
    <col min="4" max="4" width="38.5546875" customWidth="1"/>
    <col min="5" max="5" width="24.33203125" customWidth="1"/>
    <col min="6" max="6" width="25.33203125" customWidth="1"/>
  </cols>
  <sheetData>
    <row r="1" spans="2:6" ht="36" customHeight="1" x14ac:dyDescent="0.3">
      <c r="B1" s="2" t="s">
        <v>35</v>
      </c>
      <c r="C1" s="2"/>
      <c r="D1" s="2"/>
      <c r="E1" s="2"/>
      <c r="F1" s="2"/>
    </row>
    <row r="2" spans="2:6" ht="18" customHeight="1" x14ac:dyDescent="0.3"/>
    <row r="3" spans="2:6" ht="31.5" customHeight="1" x14ac:dyDescent="0.3">
      <c r="B3" s="1" t="s">
        <v>0</v>
      </c>
      <c r="C3" s="1"/>
      <c r="D3" s="1"/>
      <c r="E3" s="1"/>
      <c r="F3" s="1"/>
    </row>
    <row r="4" spans="2:6" ht="18" customHeight="1" x14ac:dyDescent="0.3"/>
    <row r="5" spans="2:6" ht="37.5" customHeight="1" x14ac:dyDescent="0.3">
      <c r="B5" s="3" t="s">
        <v>1</v>
      </c>
      <c r="C5" s="4" t="s">
        <v>2</v>
      </c>
      <c r="D5" s="5" t="s">
        <v>3</v>
      </c>
      <c r="E5" s="6" t="s">
        <v>4</v>
      </c>
      <c r="F5" s="7" t="s">
        <v>5</v>
      </c>
    </row>
    <row r="6" spans="2:6" ht="35.25" customHeight="1" x14ac:dyDescent="0.3">
      <c r="B6" s="8">
        <v>30</v>
      </c>
      <c r="C6" s="9">
        <v>9</v>
      </c>
      <c r="D6" s="10">
        <v>15</v>
      </c>
      <c r="E6" s="11">
        <v>5</v>
      </c>
      <c r="F6" s="12">
        <v>1</v>
      </c>
    </row>
    <row r="7" spans="2:6" ht="18" customHeight="1" x14ac:dyDescent="0.3"/>
    <row r="8" spans="2:6" ht="30" customHeight="1" x14ac:dyDescent="0.3">
      <c r="B8" s="1" t="s">
        <v>6</v>
      </c>
      <c r="C8" s="1"/>
      <c r="D8" s="1"/>
      <c r="E8" s="1"/>
      <c r="F8" s="1"/>
    </row>
    <row r="9" spans="2:6" ht="18" customHeight="1" x14ac:dyDescent="0.3"/>
    <row r="10" spans="2:6" ht="33" customHeight="1" x14ac:dyDescent="0.3">
      <c r="B10" s="7" t="s">
        <v>7</v>
      </c>
      <c r="C10" s="4" t="s">
        <v>8</v>
      </c>
      <c r="D10" s="5" t="s">
        <v>9</v>
      </c>
      <c r="E10" s="13" t="s">
        <v>10</v>
      </c>
      <c r="F10" s="6" t="s">
        <v>11</v>
      </c>
    </row>
    <row r="11" spans="2:6" ht="33.75" customHeight="1" x14ac:dyDescent="0.3">
      <c r="B11" s="14">
        <v>22</v>
      </c>
      <c r="C11" s="15">
        <v>8</v>
      </c>
      <c r="D11" s="16">
        <v>0</v>
      </c>
      <c r="E11" s="17">
        <v>0</v>
      </c>
      <c r="F11" s="18">
        <v>0</v>
      </c>
    </row>
    <row r="12" spans="2:6" ht="18" customHeight="1" x14ac:dyDescent="0.3">
      <c r="B12" s="19"/>
      <c r="C12" s="19"/>
      <c r="D12" s="19"/>
      <c r="E12" s="19"/>
      <c r="F12" s="19"/>
    </row>
    <row r="13" spans="2:6" ht="30" customHeight="1" x14ac:dyDescent="0.3">
      <c r="B13" s="20" t="s">
        <v>12</v>
      </c>
      <c r="C13" s="20"/>
      <c r="D13" s="20"/>
      <c r="E13" s="20"/>
      <c r="F13" s="20"/>
    </row>
    <row r="14" spans="2:6" ht="18" customHeight="1" x14ac:dyDescent="0.3">
      <c r="B14" s="19"/>
      <c r="C14" s="19"/>
      <c r="D14" s="19"/>
      <c r="E14" s="19"/>
      <c r="F14" s="19"/>
    </row>
    <row r="15" spans="2:6" ht="42" customHeight="1" x14ac:dyDescent="0.3">
      <c r="B15" s="21" t="s">
        <v>13</v>
      </c>
      <c r="C15" s="21" t="s">
        <v>14</v>
      </c>
      <c r="D15" s="22" t="s">
        <v>15</v>
      </c>
      <c r="E15" s="22"/>
      <c r="F15" s="22"/>
    </row>
    <row r="16" spans="2:6" ht="30" customHeight="1" x14ac:dyDescent="0.3">
      <c r="B16" s="30" t="s">
        <v>16</v>
      </c>
      <c r="C16" s="23">
        <f>ROUND(B11/B6*100,2)</f>
        <v>73.33</v>
      </c>
      <c r="D16" s="24" t="s">
        <v>17</v>
      </c>
      <c r="E16" s="24"/>
      <c r="F16" s="24"/>
    </row>
    <row r="17" spans="2:6" ht="30" customHeight="1" x14ac:dyDescent="0.3">
      <c r="B17" s="31" t="s">
        <v>18</v>
      </c>
      <c r="C17" s="25">
        <f>ROUND(C11/B6*100,2)</f>
        <v>26.67</v>
      </c>
      <c r="D17" s="26" t="s">
        <v>19</v>
      </c>
      <c r="E17" s="26"/>
      <c r="F17" s="26"/>
    </row>
    <row r="18" spans="2:6" ht="30" customHeight="1" x14ac:dyDescent="0.3">
      <c r="B18" s="30" t="s">
        <v>20</v>
      </c>
      <c r="C18" s="23">
        <f>ROUND((B11+C11+D11+F11)/B6*100,2)</f>
        <v>100</v>
      </c>
      <c r="D18" s="24" t="s">
        <v>21</v>
      </c>
      <c r="E18" s="24"/>
      <c r="F18" s="24"/>
    </row>
    <row r="19" spans="2:6" ht="30" customHeight="1" x14ac:dyDescent="0.3">
      <c r="B19" s="31" t="s">
        <v>22</v>
      </c>
      <c r="C19" s="25">
        <f>B6-B11-C11-D11-E11-F11</f>
        <v>0</v>
      </c>
      <c r="D19" s="26" t="s">
        <v>23</v>
      </c>
      <c r="E19" s="26"/>
      <c r="F19" s="26"/>
    </row>
    <row r="20" spans="2:6" ht="18" customHeight="1" x14ac:dyDescent="0.3">
      <c r="B20" s="19"/>
      <c r="C20" s="19"/>
      <c r="D20" s="19"/>
      <c r="E20" s="19"/>
      <c r="F20" s="19"/>
    </row>
    <row r="21" spans="2:6" ht="23.25" customHeight="1" x14ac:dyDescent="0.3">
      <c r="B21" s="20" t="s">
        <v>24</v>
      </c>
      <c r="C21" s="20"/>
      <c r="D21" s="20"/>
      <c r="E21" s="20"/>
      <c r="F21" s="20"/>
    </row>
    <row r="22" spans="2:6" ht="18" customHeight="1" x14ac:dyDescent="0.3">
      <c r="B22" s="19"/>
      <c r="C22" s="19"/>
      <c r="D22" s="19"/>
      <c r="E22" s="19"/>
      <c r="F22" s="19"/>
    </row>
    <row r="23" spans="2:6" ht="33.75" customHeight="1" x14ac:dyDescent="0.3">
      <c r="B23" s="21" t="s">
        <v>13</v>
      </c>
      <c r="C23" s="21" t="s">
        <v>25</v>
      </c>
      <c r="D23" s="21" t="s">
        <v>26</v>
      </c>
      <c r="E23" s="27" t="s">
        <v>27</v>
      </c>
      <c r="F23" s="27"/>
    </row>
    <row r="24" spans="2:6" ht="31.5" customHeight="1" x14ac:dyDescent="0.3">
      <c r="B24" s="30" t="s">
        <v>28</v>
      </c>
      <c r="C24" s="28">
        <v>5</v>
      </c>
      <c r="D24" s="28" t="s">
        <v>29</v>
      </c>
      <c r="E24" s="24" t="s">
        <v>30</v>
      </c>
      <c r="F24" s="24"/>
    </row>
    <row r="25" spans="2:6" ht="31.5" customHeight="1" x14ac:dyDescent="0.3">
      <c r="B25" s="31" t="s">
        <v>31</v>
      </c>
      <c r="C25" s="29">
        <v>3</v>
      </c>
      <c r="D25" s="29">
        <f>IFERROR(ROUND(C25/C24*100,2),"—")</f>
        <v>60</v>
      </c>
      <c r="E25" s="26" t="s">
        <v>32</v>
      </c>
      <c r="F25" s="26"/>
    </row>
    <row r="26" spans="2:6" ht="31.5" customHeight="1" x14ac:dyDescent="0.3">
      <c r="B26" s="30" t="s">
        <v>33</v>
      </c>
      <c r="C26" s="28">
        <v>5</v>
      </c>
      <c r="D26" s="28">
        <f>IFERROR(ROUND(C26/C24*100,2),"—")</f>
        <v>100</v>
      </c>
      <c r="E26" s="24" t="s">
        <v>34</v>
      </c>
      <c r="F26" s="24"/>
    </row>
    <row r="27" spans="2:6" ht="18" customHeight="1" x14ac:dyDescent="0.3"/>
  </sheetData>
  <mergeCells count="14">
    <mergeCell ref="E23:F23"/>
    <mergeCell ref="E24:F24"/>
    <mergeCell ref="E25:F25"/>
    <mergeCell ref="E26:F26"/>
    <mergeCell ref="D16:F16"/>
    <mergeCell ref="D17:F17"/>
    <mergeCell ref="D18:F18"/>
    <mergeCell ref="D19:F19"/>
    <mergeCell ref="B21:F21"/>
    <mergeCell ref="B1:F1"/>
    <mergeCell ref="B3:F3"/>
    <mergeCell ref="B8:F8"/>
    <mergeCell ref="B13:F13"/>
    <mergeCell ref="D15:F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📈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Elshabasy</cp:lastModifiedBy>
  <cp:revision>0</cp:revision>
  <dcterms:created xsi:type="dcterms:W3CDTF">2026-05-20T23:02:24Z</dcterms:created>
  <dcterms:modified xsi:type="dcterms:W3CDTF">2026-05-23T20:50:55Z</dcterms:modified>
  <dc:language>en-US</dc:language>
</cp:coreProperties>
</file>