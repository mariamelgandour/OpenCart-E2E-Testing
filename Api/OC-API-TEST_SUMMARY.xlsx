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📈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<sst xmlns="http://schemas.openxmlformats.org/spreadsheetml/2006/main" count="37" uniqueCount="36">
  <si>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Test Execution Dashboard — OpenCart API</t>
  </si>
  <si>
    <t xml:space="preserve">  📈  TEST EXECUTION SUMMARY</t>
  </si>
  <si>
    <t xml:space="preserve">Total Test Cases</t>
  </si>
  <si>
    <t xml:space="preserve">P0 – Blocker</t>
  </si>
  <si>
    <t xml:space="preserve">P1 – High Risk</t>
  </si>
  <si>
    <t xml:space="preserve">P2 – Medium Risk</t>
  </si>
  <si>
    <t xml:space="preserve">P3 – Low Risk</t>
  </si>
  <si>
    <t xml:space="preserve">  ✅  EXECUTION STATUS TRACKER</t>
  </si>
  <si>
    <t xml:space="preserve">Pass</t>
  </si>
  <si>
    <t xml:space="preserve">Fail</t>
  </si>
  <si>
    <t xml:space="preserve">Blocked</t>
  </si>
  <si>
    <t xml:space="preserve">Pending</t>
  </si>
  <si>
    <t xml:space="preserve">In Progress</t>
  </si>
  <si>
    <t xml:space="preserve">  📋  TEST PROGRESS</t>
  </si>
  <si>
    <t xml:space="preserve">Metric</t>
  </si>
  <si>
    <t xml:space="preserve">Value</t>
  </si>
  <si>
    <t xml:space="preserve">Formula</t>
  </si>
  <si>
    <t xml:space="preserve">Pass Rate (%)</t>
  </si>
  <si>
    <t xml:space="preserve">(Pass / Total) × 100</t>
  </si>
  <si>
    <t xml:space="preserve">Fail Rate (%)</t>
  </si>
  <si>
    <t xml:space="preserve">(Fail / Total) × 100</t>
  </si>
  <si>
    <t xml:space="preserve">Execution Rate (%)</t>
  </si>
  <si>
    <t xml:space="preserve">(Pass + Fail + Blocked + In Progress) / Total × 100</t>
  </si>
  <si>
    <t xml:space="preserve">Remaining Cases</t>
  </si>
  <si>
    <t xml:space="preserve">Not Executed count</t>
  </si>
  <si>
    <t xml:space="preserve">  🐞  BUG / DEFECT SUMMARY</t>
  </si>
  <si>
    <t xml:space="preserve">Count</t>
  </si>
  <si>
    <t xml:space="preserve">% of Total</t>
  </si>
  <si>
    <t xml:space="preserve">Notes</t>
  </si>
  <si>
    <t xml:space="preserve">Total Bugs Logged</t>
  </si>
  <si>
    <t xml:space="preserve">—</t>
  </si>
  <si>
    <t xml:space="preserve">All logged defects</t>
  </si>
  <si>
    <t xml:space="preserve">Critical P0 + High P1 Open</t>
  </si>
  <si>
    <t xml:space="preserve">Must be ZERO before sign-off</t>
  </si>
  <si>
    <t xml:space="preserve">Open Bugs (All Priorities)</t>
  </si>
  <si>
    <t xml:space="preserve">Currently unresolved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</si>
</sst>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A2B3C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1A2B3C"/>
      <name val="Arial"/>
      <family val="0"/>
      <charset val="1"/>
    </font>
    <font>
      <b val="true"/>
      <sz val="9"/>
      <color rgb="FF1E88C8"/>
      <name val="Arial"/>
      <family val="0"/>
      <charset val="1"/>
    </font>
    <font>
      <sz val="9"/>
      <color rgb="FF1A2B3C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3A5C"/>
        <bgColor rgb="FF1A2B3C"/>
      </patternFill>
    </fill>
    <fill>
      <patternFill patternType="solid">
        <fgColor rgb="FF1E88C8"/>
        <bgColor rgb="FF0099CC"/>
      </patternFill>
    </fill>
    <fill>
      <patternFill patternType="solid">
        <fgColor rgb="FF2EA6D5"/>
        <bgColor rgb="FF1E88C8"/>
      </patternFill>
    </fill>
    <fill>
      <patternFill patternType="solid">
        <fgColor rgb="FFFADBD8"/>
        <bgColor rgb="FFFEF5E7"/>
      </patternFill>
    </fill>
    <fill>
      <patternFill patternType="solid">
        <fgColor rgb="FFFEF5E7"/>
        <bgColor rgb="FFF2F3F4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0099CC"/>
        <bgColor rgb="FF1E88C8"/>
      </patternFill>
    </fill>
    <fill>
      <patternFill patternType="solid">
        <fgColor rgb="FFC0392B"/>
        <bgColor rgb="FFD35400"/>
      </patternFill>
    </fill>
    <fill>
      <patternFill patternType="solid">
        <fgColor rgb="FFD35400"/>
        <bgColor rgb="FFC0392B"/>
      </patternFill>
    </fill>
    <fill>
      <patternFill patternType="solid">
        <fgColor rgb="FF1A6FA0"/>
        <bgColor rgb="FF1E88C8"/>
      </patternFill>
    </fill>
    <fill>
      <patternFill patternType="solid">
        <fgColor rgb="FF1E8449"/>
        <bgColor rgb="FF008000"/>
      </patternFill>
    </fill>
    <fill>
      <patternFill patternType="solid">
        <fgColor rgb="FFF2F3F4"/>
        <bgColor rgb="FFF4F9FD"/>
      </patternFill>
    </fill>
    <fill>
      <patternFill patternType="solid">
        <fgColor rgb="FFE8F4FB"/>
        <bgColor rgb="FFF2F3F4"/>
      </patternFill>
    </fill>
    <fill>
      <patternFill patternType="solid">
        <fgColor rgb="FFF4F9FD"/>
        <bgColor rgb="FFF2F3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/>
      <top style="thin">
        <color rgb="FFD0D7DE"/>
      </top>
      <bottom style="thin">
        <color rgb="FFD0D7DE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8C8"/>
      <rgbColor rgb="FFF4F9FD"/>
      <rgbColor rgb="FF808080"/>
      <rgbColor rgb="FF9999FF"/>
      <rgbColor rgb="FF993366"/>
      <rgbColor rgb="FFFEF5E7"/>
      <rgbColor rgb="FFD6EAF8"/>
      <rgbColor rgb="FF660066"/>
      <rgbColor rgb="FFFF8080"/>
      <rgbColor rgb="FF1A6FA0"/>
      <rgbColor rgb="FFD0D7DE"/>
      <rgbColor rgb="FF000080"/>
      <rgbColor rgb="FFFF00FF"/>
      <rgbColor rgb="FFFFFF00"/>
      <rgbColor rgb="FF00FFFF"/>
      <rgbColor rgb="FF800080"/>
      <rgbColor rgb="FF800000"/>
      <rgbColor rgb="FF0099CC"/>
      <rgbColor rgb="FF0000FF"/>
      <rgbColor rgb="FF00CCFF"/>
      <rgbColor rgb="FFE8F4FB"/>
      <rgbColor rgb="FFD5F5E3"/>
      <rgbColor rgb="FFF2F3F4"/>
      <rgbColor rgb="FF99CCFF"/>
      <rgbColor rgb="FFFF99CC"/>
      <rgbColor rgb="FFCC99FF"/>
      <rgbColor rgb="FFFADBD8"/>
      <rgbColor rgb="FF3366FF"/>
      <rgbColor rgb="FF2EA6D5"/>
      <rgbColor rgb="FF99CC00"/>
      <rgbColor rgb="FFFFCC00"/>
      <rgbColor rgb="FFFF9900"/>
      <rgbColor rgb="FFD35400"/>
      <rgbColor rgb="FF666699"/>
      <rgbColor rgb="FF969696"/>
      <rgbColor rgb="FF1A3A5C"/>
      <rgbColor rgb="FF1E8449"/>
      <rgbColor rgb="FF003300"/>
      <rgbColor rgb="FF333300"/>
      <rgbColor rgb="FFC0392B"/>
      <rgbColor rgb="FF993366"/>
      <rgbColor rgb="FF333399"/>
      <rgbColor rgb="FF1A2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1.88"/>
    <col collapsed="false" customWidth="true" hidden="false" outlineLevel="0" max="3" min="3" style="0" width="32.56"/>
    <col collapsed="false" customWidth="true" hidden="false" outlineLevel="0" max="4" min="4" style="0" width="38.56"/>
    <col collapsed="false" customWidth="true" hidden="false" outlineLevel="0" max="5" min="5" style="0" width="24.33"/>
    <col collapsed="false" customWidth="true" hidden="false" outlineLevel="0" max="6" min="6" style="0" width="25.33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</row>
    <row r="2" customFormat="false" ht="18" hidden="false" customHeight="true" outlineLevel="0" collapsed="false"/>
    <row r="3" customFormat="false" ht="31.5" hidden="false" customHeight="true" outlineLevel="0" collapsed="false">
      <c r="B3" s="2" t="s">
        <v>1</v>
      </c>
      <c r="C3" s="2"/>
      <c r="D3" s="2"/>
      <c r="E3" s="2"/>
      <c r="F3" s="2"/>
    </row>
    <row r="4" customFormat="false" ht="18" hidden="false" customHeight="true" outlineLevel="0" collapsed="false"/>
    <row r="5" customFormat="false" ht="37.5" hidden="false" customHeight="true" outlineLevel="0" collapsed="false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customFormat="false" ht="35.25" hidden="false" customHeight="true" outlineLevel="0" collapsed="false">
      <c r="B6" s="8" t="n">
        <v>20</v>
      </c>
      <c r="C6" s="9" t="n">
        <v>2</v>
      </c>
      <c r="D6" s="10" t="n">
        <v>8</v>
      </c>
      <c r="E6" s="11" t="n">
        <v>7</v>
      </c>
      <c r="F6" s="12" t="n">
        <v>3</v>
      </c>
    </row>
    <row r="7" customFormat="false" ht="18" hidden="false" customHeight="true" outlineLevel="0" collapsed="false"/>
    <row r="8" customFormat="false" ht="30" hidden="false" customHeight="true" outlineLevel="0" collapsed="false">
      <c r="B8" s="2" t="s">
        <v>7</v>
      </c>
      <c r="C8" s="2"/>
      <c r="D8" s="2"/>
      <c r="E8" s="2"/>
      <c r="F8" s="2"/>
    </row>
    <row r="9" customFormat="false" ht="18" hidden="false" customHeight="true" outlineLevel="0" collapsed="false"/>
    <row r="10" customFormat="false" ht="33" hidden="false" customHeight="true" outlineLevel="0" collapsed="false">
      <c r="B10" s="7" t="s">
        <v>8</v>
      </c>
      <c r="C10" s="4" t="s">
        <v>9</v>
      </c>
      <c r="D10" s="5" t="s">
        <v>10</v>
      </c>
      <c r="E10" s="13" t="s">
        <v>11</v>
      </c>
      <c r="F10" s="6" t="s">
        <v>12</v>
      </c>
    </row>
    <row r="11" customFormat="false" ht="33.75" hidden="false" customHeight="true" outlineLevel="0" collapsed="false">
      <c r="B11" s="14" t="n">
        <v>15</v>
      </c>
      <c r="C11" s="15" t="n">
        <v>5</v>
      </c>
      <c r="D11" s="16" t="n">
        <v>0</v>
      </c>
      <c r="E11" s="17" t="n">
        <v>0</v>
      </c>
      <c r="F11" s="18" t="n">
        <v>0</v>
      </c>
    </row>
    <row r="12" customFormat="false" ht="18" hidden="false" customHeight="true" outlineLevel="0" collapsed="false"/>
    <row r="13" customFormat="false" ht="30" hidden="false" customHeight="true" outlineLevel="0" collapsed="false">
      <c r="B13" s="2" t="s">
        <v>13</v>
      </c>
      <c r="C13" s="2"/>
      <c r="D13" s="2"/>
      <c r="E13" s="2"/>
      <c r="F13" s="2"/>
    </row>
    <row r="14" customFormat="false" ht="18" hidden="false" customHeight="true" outlineLevel="0" collapsed="false"/>
    <row r="15" customFormat="false" ht="42" hidden="false" customHeight="true" outlineLevel="0" collapsed="false">
      <c r="B15" s="19" t="s">
        <v>14</v>
      </c>
      <c r="C15" s="20" t="s">
        <v>15</v>
      </c>
      <c r="D15" s="21" t="s">
        <v>16</v>
      </c>
      <c r="E15" s="21"/>
      <c r="F15" s="21"/>
    </row>
    <row r="16" customFormat="false" ht="30" hidden="false" customHeight="true" outlineLevel="0" collapsed="false">
      <c r="B16" s="22" t="s">
        <v>17</v>
      </c>
      <c r="C16" s="23" t="n">
        <f aca="false">ROUND(B11/B6*100,2)</f>
        <v>75</v>
      </c>
      <c r="D16" s="24" t="s">
        <v>18</v>
      </c>
      <c r="E16" s="24"/>
      <c r="F16" s="24"/>
    </row>
    <row r="17" customFormat="false" ht="30" hidden="false" customHeight="true" outlineLevel="0" collapsed="false">
      <c r="B17" s="25" t="s">
        <v>19</v>
      </c>
      <c r="C17" s="26" t="n">
        <f aca="false">ROUND(C11/B6*100,2)</f>
        <v>25</v>
      </c>
      <c r="D17" s="27" t="s">
        <v>20</v>
      </c>
      <c r="E17" s="27"/>
      <c r="F17" s="27"/>
    </row>
    <row r="18" customFormat="false" ht="30" hidden="false" customHeight="true" outlineLevel="0" collapsed="false">
      <c r="B18" s="22" t="s">
        <v>21</v>
      </c>
      <c r="C18" s="23" t="n">
        <f aca="false">ROUND((B11+C11+D11+F11)/B6*100,2)</f>
        <v>100</v>
      </c>
      <c r="D18" s="24" t="s">
        <v>22</v>
      </c>
      <c r="E18" s="24"/>
      <c r="F18" s="24"/>
    </row>
    <row r="19" customFormat="false" ht="30" hidden="false" customHeight="true" outlineLevel="0" collapsed="false">
      <c r="B19" s="25" t="s">
        <v>23</v>
      </c>
      <c r="C19" s="26" t="n">
        <f aca="false">B6-B11-C11-D11-E11-F11</f>
        <v>0</v>
      </c>
      <c r="D19" s="27" t="s">
        <v>24</v>
      </c>
      <c r="E19" s="27"/>
      <c r="F19" s="27"/>
    </row>
    <row r="20" customFormat="false" ht="18" hidden="false" customHeight="true" outlineLevel="0" collapsed="false"/>
    <row r="21" customFormat="false" ht="23.25" hidden="false" customHeight="true" outlineLevel="0" collapsed="false">
      <c r="B21" s="2" t="s">
        <v>25</v>
      </c>
      <c r="C21" s="2"/>
      <c r="D21" s="2"/>
      <c r="E21" s="2"/>
      <c r="F21" s="2"/>
    </row>
    <row r="22" customFormat="false" ht="18" hidden="false" customHeight="true" outlineLevel="0" collapsed="false"/>
    <row r="23" customFormat="false" ht="33.75" hidden="false" customHeight="true" outlineLevel="0" collapsed="false">
      <c r="B23" s="19" t="s">
        <v>14</v>
      </c>
      <c r="C23" s="20" t="s">
        <v>26</v>
      </c>
      <c r="D23" s="20" t="s">
        <v>27</v>
      </c>
      <c r="E23" s="28" t="s">
        <v>28</v>
      </c>
      <c r="F23" s="28"/>
    </row>
    <row r="24" customFormat="false" ht="31.5" hidden="false" customHeight="true" outlineLevel="0" collapsed="false">
      <c r="B24" s="22" t="s">
        <v>29</v>
      </c>
      <c r="C24" s="29" t="n">
        <v>5</v>
      </c>
      <c r="D24" s="29" t="s">
        <v>30</v>
      </c>
      <c r="E24" s="24" t="s">
        <v>31</v>
      </c>
      <c r="F24" s="24"/>
    </row>
    <row r="25" customFormat="false" ht="31.5" hidden="false" customHeight="true" outlineLevel="0" collapsed="false">
      <c r="B25" s="25" t="s">
        <v>32</v>
      </c>
      <c r="C25" s="30" t="n">
        <v>3</v>
      </c>
      <c r="D25" s="30" t="n">
        <f aca="false">IFERROR(ROUND(C25/C24*100,2),"—")</f>
        <v>60</v>
      </c>
      <c r="E25" s="27" t="s">
        <v>33</v>
      </c>
      <c r="F25" s="27"/>
    </row>
    <row r="26" customFormat="false" ht="31.5" hidden="false" customHeight="true" outlineLevel="0" collapsed="false">
      <c r="B26" s="22" t="s">
        <v>34</v>
      </c>
      <c r="C26" s="29" t="n">
        <v>5</v>
      </c>
      <c r="D26" s="29" t="n">
        <f aca="false">IFERROR(ROUND(C26/C24*100,2),"—")</f>
        <v>100</v>
      </c>
      <c r="E26" s="24" t="s">
        <v>35</v>
      </c>
      <c r="F26" s="24"/>
    </row>
    <row r="27" customFormat="false" ht="18" hidden="false" customHeight="true" outlineLevel="0" collapsed="false"/>
  </sheetData>
  <mergeCells count="14">
    <mergeCell ref="B1:F1"/>
    <mergeCell ref="B3:F3"/>
    <mergeCell ref="B8:F8"/>
    <mergeCell ref="B13:F13"/>
    <mergeCell ref="D15:F15"/>
    <mergeCell ref="D16:F16"/>
    <mergeCell ref="D17:F17"/>
    <mergeCell ref="D18:F18"/>
    <mergeCell ref="D19:F19"/>
    <mergeCell ref="B21:F21"/>
    <mergeCell ref="E23:F23"/>
    <mergeCell ref="E24:F24"/>
    <mergeCell ref="E25:F25"/>
    <mergeCell ref="E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2026-05-20T23:02:24Z</dcterms:created>
  <dc:creator>openpyxl</dc:creator>
  <dc:description/>
  <dc:language>en-US</dc:language>
  <cp:lastModifiedBy/>
  <dcterms:modified xsi:type="dcterms:W3CDTF">2026-05-20T23:02:24Z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