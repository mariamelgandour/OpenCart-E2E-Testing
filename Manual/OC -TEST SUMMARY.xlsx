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📈 Dashboard" sheetId="1" r:id="rId4"/>
  </sheets>
  <definedNames/>
  <calcPr/>
  <extLst>
    <ext uri="GoogleSheetsCustomDataVersion2">
      <go:sheetsCustomData xmlns:go="http://customooxmlschemas.google.com/" r:id="rId5" roundtripDataChecksum="eIcr0DvpVGNcBSDyk81AonObTXagvydu1AN2N8LupJw="/>
    </ext>
  </extLst>
</workbook>
</file>

<file path=xl/sharedStrings.xml><?xml version="1.0" encoding="utf-8"?>
<sst xmlns="http://schemas.openxmlformats.org/spreadsheetml/2006/main" count="37" uniqueCount="36">
  <si>
    <t>Test Execution Dashboard — OpenCart Platform</t>
  </si>
  <si>
    <t xml:space="preserve">  📈  TEST EXECUTION SUMMARY</t>
  </si>
  <si>
    <t>Total Test Cases</t>
  </si>
  <si>
    <t>P0 – Blocker</t>
  </si>
  <si>
    <t>P1 – High Risk</t>
  </si>
  <si>
    <t>P2 – Medium Risk</t>
  </si>
  <si>
    <t>P3 – Low Risk</t>
  </si>
  <si>
    <t xml:space="preserve">  ✅  EXECUTION STATUS TRACKER</t>
  </si>
  <si>
    <t>Pass</t>
  </si>
  <si>
    <t>Fail</t>
  </si>
  <si>
    <t>Blocked</t>
  </si>
  <si>
    <t>Pending</t>
  </si>
  <si>
    <t>In Progress</t>
  </si>
  <si>
    <t xml:space="preserve">  📋  TEST PROGRESS</t>
  </si>
  <si>
    <t>Metric</t>
  </si>
  <si>
    <t>Value</t>
  </si>
  <si>
    <t>Formula</t>
  </si>
  <si>
    <t>Pass Rate (%)</t>
  </si>
  <si>
    <t>(Pass / Total) × 100</t>
  </si>
  <si>
    <t>Fail Rate (%)</t>
  </si>
  <si>
    <t>(Fail / Total) × 100</t>
  </si>
  <si>
    <t>Execution Rate (%)</t>
  </si>
  <si>
    <t>(Pass + Fail + Blocked + In Progress) / Total × 100</t>
  </si>
  <si>
    <t>Remaining Cases</t>
  </si>
  <si>
    <t>Not Executed count</t>
  </si>
  <si>
    <t xml:space="preserve">  🐞  BUG / DEFECT SUMMARY</t>
  </si>
  <si>
    <t>Count</t>
  </si>
  <si>
    <t>% of Total</t>
  </si>
  <si>
    <t>Notes</t>
  </si>
  <si>
    <t>Total Bugs Logged</t>
  </si>
  <si>
    <t>—</t>
  </si>
  <si>
    <t>All logged defects</t>
  </si>
  <si>
    <t>Critical P0 + High P1 Open</t>
  </si>
  <si>
    <t>Must be ZERO before sign-off</t>
  </si>
  <si>
    <t>Open Bugs (All Priorities)</t>
  </si>
  <si>
    <t>Currently unresolved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</si>
</sst>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%"/>
  </numFmts>
  <fonts count="11">
    <font>
      <sz val="11.0"/>
      <color theme="1"/>
      <name val="Calibri"/>
      <scheme val="minor"/>
    </font>
    <font>
      <sz val="9.0"/>
      <color theme="1"/>
      <name val="Arial"/>
    </font>
    <font>
      <b/>
      <sz val="13.0"/>
      <color rgb="FFFFFFFF"/>
      <name val="Calibri"/>
    </font>
    <font/>
    <font>
      <b/>
      <sz val="12.0"/>
      <color rgb="FFFFFFFF"/>
      <name val="Arial"/>
    </font>
    <font>
      <b/>
      <sz val="12.0"/>
      <color rgb="FF1A2B3C"/>
      <name val="Arial"/>
    </font>
    <font>
      <b/>
      <sz val="16.0"/>
      <color rgb="FFFFFFFF"/>
      <name val="Arial"/>
    </font>
    <font>
      <sz val="10.0"/>
      <color theme="1"/>
      <name val="Calibri"/>
      <scheme val="minor"/>
    </font>
    <font>
      <b/>
      <sz val="14.0"/>
      <color rgb="FF1A2B3C"/>
      <name val="Arial"/>
    </font>
    <font>
      <b/>
      <sz val="9.0"/>
      <color rgb="FF1E88C8"/>
      <name val="Arial"/>
    </font>
    <font>
      <sz val="9.0"/>
      <color rgb="FF1A2B3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1E88C8"/>
        <bgColor rgb="FF1E88C8"/>
      </patternFill>
    </fill>
    <fill>
      <patternFill patternType="solid">
        <fgColor rgb="FF2EA6D5"/>
        <bgColor rgb="FF2EA6D5"/>
      </patternFill>
    </fill>
    <fill>
      <patternFill patternType="solid">
        <fgColor rgb="FFFADBD8"/>
        <bgColor rgb="FFFADBD8"/>
      </patternFill>
    </fill>
    <fill>
      <patternFill patternType="solid">
        <fgColor rgb="FFFEF5E7"/>
        <bgColor rgb="FFFEF5E7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0099CC"/>
        <bgColor rgb="FF0099CC"/>
      </patternFill>
    </fill>
    <fill>
      <patternFill patternType="solid">
        <fgColor rgb="FFC0392B"/>
        <bgColor rgb="FFC0392B"/>
      </patternFill>
    </fill>
    <fill>
      <patternFill patternType="solid">
        <fgColor rgb="FFD35400"/>
        <bgColor rgb="FFD35400"/>
      </patternFill>
    </fill>
    <fill>
      <patternFill patternType="solid">
        <fgColor rgb="FF1A6FA0"/>
        <bgColor rgb="FF1A6FA0"/>
      </patternFill>
    </fill>
    <fill>
      <patternFill patternType="solid">
        <fgColor rgb="FF1E8449"/>
        <bgColor rgb="FF1E8449"/>
      </patternFill>
    </fill>
    <fill>
      <patternFill patternType="solid">
        <fgColor rgb="FFF2F3F4"/>
        <bgColor rgb="FFF2F3F4"/>
      </patternFill>
    </fill>
    <fill>
      <patternFill patternType="solid">
        <fgColor rgb="FFE8F4FB"/>
        <bgColor rgb="FFE8F4FB"/>
      </patternFill>
    </fill>
    <fill>
      <patternFill patternType="solid">
        <fgColor rgb="FFF4F9FD"/>
        <bgColor rgb="FFF4F9FD"/>
      </patternFill>
    </fill>
  </fills>
  <borders count="8">
    <border/>
    <border>
      <left style="thin">
        <color rgb="FFC5D8E8"/>
      </left>
      <top style="thin">
        <color rgb="FFC5D8E8"/>
      </top>
      <bottom style="thin">
        <color rgb="FFC5D8E8"/>
      </bottom>
    </border>
    <border>
      <top style="thin">
        <color rgb="FFC5D8E8"/>
      </top>
      <bottom style="thin">
        <color rgb="FFC5D8E8"/>
      </bottom>
    </border>
    <border>
      <right/>
      <top style="thin">
        <color rgb="FFC5D8E8"/>
      </top>
      <bottom style="thin">
        <color rgb="FFC5D8E8"/>
      </bottom>
    </border>
    <border>
      <left/>
      <right/>
      <top/>
      <bottom/>
    </border>
    <border>
      <left style="thin">
        <color rgb="FFC5D8E8"/>
      </left>
      <right style="thin">
        <color rgb="FFC5D8E8"/>
      </right>
      <top style="thin">
        <color rgb="FFC5D8E8"/>
      </top>
      <bottom style="thin">
        <color rgb="FFC5D8E8"/>
      </bottom>
    </border>
    <border>
      <right style="thin">
        <color rgb="FFCCCCCC"/>
      </right>
      <top style="thin">
        <color rgb="FFC5D8E8"/>
      </top>
      <bottom style="thin">
        <color rgb="FFC5D8E8"/>
      </bottom>
    </border>
    <border>
      <right style="thin">
        <color rgb="FFC5D8E8"/>
      </right>
      <top style="thin">
        <color rgb="FFC5D8E8"/>
      </top>
      <bottom style="thin">
        <color rgb="FFC5D8E8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4" fillId="14" fontId="5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5" fillId="15" fontId="9" numFmtId="0" xfId="0" applyAlignment="1" applyBorder="1" applyFill="1" applyFont="1">
      <alignment horizontal="left" shrinkToFit="0" vertical="center" wrapText="1"/>
    </xf>
    <xf borderId="5" fillId="15" fontId="10" numFmtId="2" xfId="0" applyAlignment="1" applyBorder="1" applyFont="1" applyNumberFormat="1">
      <alignment horizontal="center" shrinkToFit="0" vertical="center" wrapText="1"/>
    </xf>
    <xf borderId="1" fillId="15" fontId="10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5" fillId="16" fontId="9" numFmtId="0" xfId="0" applyAlignment="1" applyBorder="1" applyFill="1" applyFont="1">
      <alignment horizontal="left" shrinkToFit="0" vertical="center" wrapText="1"/>
    </xf>
    <xf borderId="5" fillId="16" fontId="10" numFmtId="2" xfId="0" applyAlignment="1" applyBorder="1" applyFont="1" applyNumberFormat="1">
      <alignment horizontal="center" shrinkToFit="0" vertical="center" wrapText="1"/>
    </xf>
    <xf borderId="1" fillId="16" fontId="10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5" fillId="15" fontId="10" numFmtId="0" xfId="0" applyAlignment="1" applyBorder="1" applyFont="1">
      <alignment horizontal="center" shrinkToFit="0" vertical="center" wrapText="0"/>
    </xf>
    <xf borderId="5" fillId="16" fontId="10" numFmtId="0" xfId="0" applyAlignment="1" applyBorder="1" applyFont="1">
      <alignment horizontal="center" shrinkToFit="0" vertical="center" wrapText="0"/>
    </xf>
    <xf borderId="5" fillId="16" fontId="10" numFmtId="164" xfId="0" applyAlignment="1" applyBorder="1" applyFont="1" applyNumberFormat="1">
      <alignment horizontal="center" shrinkToFit="0" vertical="center" wrapText="0"/>
    </xf>
    <xf borderId="5" fillId="15" fontId="10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9CC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86"/>
    <col customWidth="1" min="3" max="3" width="32.57"/>
    <col customWidth="1" min="4" max="4" width="38.57"/>
    <col customWidth="1" min="5" max="5" width="24.29"/>
    <col customWidth="1" min="6" max="6" width="25.29"/>
    <col customWidth="1" min="7" max="26" width="8.71"/>
  </cols>
  <sheetData>
    <row r="1" ht="36.0" customHeight="1">
      <c r="A1" s="1"/>
      <c r="B1" s="2" t="s">
        <v>0</v>
      </c>
      <c r="C1" s="3"/>
      <c r="D1" s="3"/>
      <c r="E1" s="3"/>
      <c r="F1" s="4"/>
    </row>
    <row r="2" ht="18.0" customHeight="1">
      <c r="A2" s="1"/>
      <c r="B2" s="1"/>
      <c r="C2" s="1"/>
      <c r="D2" s="1"/>
      <c r="E2" s="1"/>
      <c r="F2" s="1"/>
    </row>
    <row r="3" ht="31.5" customHeight="1">
      <c r="A3" s="1"/>
      <c r="B3" s="5" t="s">
        <v>1</v>
      </c>
      <c r="C3" s="3"/>
      <c r="D3" s="3"/>
      <c r="E3" s="3"/>
      <c r="F3" s="4"/>
    </row>
    <row r="4" ht="18.0" customHeight="1">
      <c r="A4" s="1"/>
      <c r="B4" s="1"/>
      <c r="C4" s="1"/>
      <c r="D4" s="1"/>
      <c r="E4" s="1"/>
      <c r="F4" s="1"/>
    </row>
    <row r="5" ht="37.5" customHeight="1">
      <c r="A5" s="1"/>
      <c r="B5" s="6" t="s">
        <v>2</v>
      </c>
      <c r="C5" s="7" t="s">
        <v>3</v>
      </c>
      <c r="D5" s="8" t="s">
        <v>4</v>
      </c>
      <c r="E5" s="9" t="s">
        <v>5</v>
      </c>
      <c r="F5" s="10" t="s">
        <v>6</v>
      </c>
    </row>
    <row r="6" ht="35.25" customHeight="1">
      <c r="A6" s="1"/>
      <c r="B6" s="11">
        <v>358.0</v>
      </c>
      <c r="C6" s="12">
        <v>7.0</v>
      </c>
      <c r="D6" s="13">
        <v>181.0</v>
      </c>
      <c r="E6" s="14">
        <v>121.0</v>
      </c>
      <c r="F6" s="15">
        <v>49.0</v>
      </c>
    </row>
    <row r="7" ht="18.0" customHeight="1">
      <c r="A7" s="1"/>
      <c r="B7" s="1"/>
      <c r="C7" s="1"/>
      <c r="D7" s="1"/>
      <c r="E7" s="1"/>
      <c r="F7" s="1"/>
      <c r="H7" s="16"/>
    </row>
    <row r="8" ht="30.0" customHeight="1">
      <c r="A8" s="1"/>
      <c r="B8" s="5" t="s">
        <v>7</v>
      </c>
      <c r="C8" s="3"/>
      <c r="D8" s="3"/>
      <c r="E8" s="3"/>
      <c r="F8" s="4"/>
    </row>
    <row r="9" ht="18.0" customHeight="1">
      <c r="A9" s="1"/>
      <c r="B9" s="1"/>
      <c r="C9" s="1"/>
      <c r="D9" s="1"/>
      <c r="E9" s="1"/>
      <c r="F9" s="1"/>
    </row>
    <row r="10" ht="33.0" customHeight="1">
      <c r="A10" s="1"/>
      <c r="B10" s="10" t="s">
        <v>8</v>
      </c>
      <c r="C10" s="7" t="s">
        <v>9</v>
      </c>
      <c r="D10" s="8" t="s">
        <v>10</v>
      </c>
      <c r="E10" s="17" t="s">
        <v>11</v>
      </c>
      <c r="F10" s="9" t="s">
        <v>12</v>
      </c>
    </row>
    <row r="11" ht="33.75" customHeight="1">
      <c r="A11" s="1"/>
      <c r="B11" s="18">
        <v>294.0</v>
      </c>
      <c r="C11" s="19">
        <v>59.0</v>
      </c>
      <c r="D11" s="20">
        <v>4.0</v>
      </c>
      <c r="E11" s="21">
        <v>1.0</v>
      </c>
      <c r="F11" s="22">
        <v>0.0</v>
      </c>
    </row>
    <row r="12" ht="18.0" customHeight="1">
      <c r="A12" s="1"/>
      <c r="B12" s="1"/>
      <c r="C12" s="1"/>
      <c r="D12" s="1"/>
      <c r="E12" s="1"/>
      <c r="F12" s="1"/>
    </row>
    <row r="13" ht="30.0" customHeight="1">
      <c r="A13" s="1"/>
      <c r="B13" s="5" t="s">
        <v>13</v>
      </c>
      <c r="C13" s="3"/>
      <c r="D13" s="3"/>
      <c r="E13" s="3"/>
      <c r="F13" s="4"/>
    </row>
    <row r="14" ht="18.0" customHeight="1">
      <c r="A14" s="1"/>
      <c r="B14" s="1"/>
      <c r="C14" s="1"/>
      <c r="D14" s="1"/>
      <c r="E14" s="1"/>
      <c r="F14" s="1"/>
    </row>
    <row r="15" ht="42.0" customHeight="1">
      <c r="A15" s="1"/>
      <c r="B15" s="23" t="s">
        <v>14</v>
      </c>
      <c r="C15" s="23" t="s">
        <v>15</v>
      </c>
      <c r="D15" s="24" t="s">
        <v>16</v>
      </c>
      <c r="E15" s="3"/>
      <c r="F15" s="4"/>
    </row>
    <row r="16" ht="30.0" customHeight="1">
      <c r="A16" s="1"/>
      <c r="B16" s="25" t="s">
        <v>17</v>
      </c>
      <c r="C16" s="26">
        <f>ROUND(B11/B6*100,2)</f>
        <v>82.12</v>
      </c>
      <c r="D16" s="27" t="s">
        <v>18</v>
      </c>
      <c r="E16" s="3"/>
      <c r="F16" s="28"/>
    </row>
    <row r="17" ht="30.0" customHeight="1">
      <c r="A17" s="1"/>
      <c r="B17" s="29" t="s">
        <v>19</v>
      </c>
      <c r="C17" s="30">
        <f>ROUND(C11/B6*100,2)</f>
        <v>16.48</v>
      </c>
      <c r="D17" s="31" t="s">
        <v>20</v>
      </c>
      <c r="E17" s="3"/>
      <c r="F17" s="28"/>
    </row>
    <row r="18" ht="30.0" customHeight="1">
      <c r="A18" s="1"/>
      <c r="B18" s="25" t="s">
        <v>21</v>
      </c>
      <c r="C18" s="26">
        <f>ROUND((B11+C11+D11+F11)/B6*100,2)</f>
        <v>99.72</v>
      </c>
      <c r="D18" s="27" t="s">
        <v>22</v>
      </c>
      <c r="E18" s="3"/>
      <c r="F18" s="28"/>
    </row>
    <row r="19" ht="30.0" customHeight="1">
      <c r="A19" s="1"/>
      <c r="B19" s="29" t="s">
        <v>23</v>
      </c>
      <c r="C19" s="30">
        <v>1.0</v>
      </c>
      <c r="D19" s="31" t="s">
        <v>24</v>
      </c>
      <c r="E19" s="3"/>
      <c r="F19" s="28"/>
    </row>
    <row r="20" ht="18.0" customHeight="1">
      <c r="A20" s="1"/>
      <c r="B20" s="1"/>
      <c r="C20" s="1"/>
      <c r="D20" s="1"/>
      <c r="E20" s="1"/>
      <c r="F20" s="1"/>
    </row>
    <row r="21" ht="23.25" customHeight="1">
      <c r="A21" s="1"/>
      <c r="B21" s="5" t="s">
        <v>25</v>
      </c>
      <c r="C21" s="3"/>
      <c r="D21" s="3"/>
      <c r="E21" s="3"/>
      <c r="F21" s="32"/>
    </row>
    <row r="22" ht="18.0" customHeight="1">
      <c r="A22" s="1"/>
      <c r="B22" s="1"/>
      <c r="C22" s="1"/>
      <c r="D22" s="1"/>
      <c r="E22" s="1"/>
      <c r="F22" s="1"/>
    </row>
    <row r="23" ht="33.75" customHeight="1">
      <c r="A23" s="1"/>
      <c r="B23" s="23" t="s">
        <v>14</v>
      </c>
      <c r="C23" s="23" t="s">
        <v>26</v>
      </c>
      <c r="D23" s="23" t="s">
        <v>27</v>
      </c>
      <c r="E23" s="24" t="s">
        <v>28</v>
      </c>
      <c r="F23" s="32"/>
    </row>
    <row r="24" ht="31.5" customHeight="1">
      <c r="A24" s="1"/>
      <c r="B24" s="25" t="s">
        <v>29</v>
      </c>
      <c r="C24" s="33">
        <v>59.0</v>
      </c>
      <c r="D24" s="33" t="s">
        <v>30</v>
      </c>
      <c r="E24" s="27" t="s">
        <v>31</v>
      </c>
      <c r="F24" s="28"/>
    </row>
    <row r="25" ht="31.5" customHeight="1">
      <c r="A25" s="1"/>
      <c r="B25" s="29" t="s">
        <v>32</v>
      </c>
      <c r="C25" s="34">
        <v>41.0</v>
      </c>
      <c r="D25" s="35">
        <f>IFERROR(ROUND(C25/C24*100,2),"—")</f>
        <v>69.49</v>
      </c>
      <c r="E25" s="31" t="s">
        <v>33</v>
      </c>
      <c r="F25" s="28"/>
    </row>
    <row r="26" ht="31.5" customHeight="1">
      <c r="A26" s="1"/>
      <c r="B26" s="25" t="s">
        <v>34</v>
      </c>
      <c r="C26" s="33">
        <v>59.0</v>
      </c>
      <c r="D26" s="36">
        <f>IFERROR(ROUND(C26/C24*100,2),"—")</f>
        <v>100</v>
      </c>
      <c r="E26" s="27" t="s">
        <v>35</v>
      </c>
      <c r="F26" s="28"/>
    </row>
    <row r="27" ht="18.0" customHeight="1">
      <c r="A27" s="1"/>
      <c r="B27" s="1"/>
      <c r="C27" s="1"/>
      <c r="D27" s="1"/>
      <c r="E27" s="1"/>
      <c r="F27" s="1"/>
    </row>
    <row r="28" ht="21.7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D18:F18"/>
    <mergeCell ref="D19:F19"/>
    <mergeCell ref="B21:F21"/>
    <mergeCell ref="E23:F23"/>
    <mergeCell ref="E24:F24"/>
    <mergeCell ref="E25:F25"/>
    <mergeCell ref="E26:F26"/>
    <mergeCell ref="B1:F1"/>
    <mergeCell ref="B3:F3"/>
    <mergeCell ref="B8:F8"/>
    <mergeCell ref="B13:F13"/>
    <mergeCell ref="D15:F15"/>
    <mergeCell ref="D16:F16"/>
    <mergeCell ref="D17:F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2026-04-09T15:56:18Z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