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ject Info" sheetId="1" r:id="rId4"/>
    <sheet state="visible" name="🧪 Test Cases" sheetId="2" r:id="rId5"/>
    <sheet state="visible" name="🔗 Traceability Matrix" sheetId="3" r:id="rId6"/>
    <sheet state="visible" name="🐞 Bug Log" sheetId="4" r:id="rId7"/>
    <sheet state="visible" name="📈 Dashboard" sheetId="5" r:id="rId8"/>
  </sheets>
  <definedNames>
    <definedName hidden="1" localSheetId="1" name="_xlnm._FilterDatabase">'🧪 Test Cases'!$A$2:$Z$360</definedName>
  </definedNames>
  <calcPr/>
  <extLst>
    <ext uri="GoogleSheetsCustomDataVersion2">
      <go:sheetsCustomData xmlns:go="http://customooxmlschemas.google.com/" r:id="rId9" roundtripDataChecksum="dDkkpABXUPArvOwCwsF658kFLqAbbJsVi0xApA+3kQ4="/>
    </ext>
  </extLst>
</workbook>
</file>

<file path=xl/sharedStrings.xml><?xml version="1.0" encoding="utf-8"?>
<sst xmlns="http://schemas.openxmlformats.org/spreadsheetml/2006/main" count="6132" uniqueCount="2746">
  <si>
    <t>OpenCart Platform  —  Test Case Document</t>
  </si>
  <si>
    <t xml:space="preserve">  📁  PROJECT DETAILS</t>
  </si>
  <si>
    <t>Project Name</t>
  </si>
  <si>
    <t>OpenCart Platform</t>
  </si>
  <si>
    <t>Project ID</t>
  </si>
  <si>
    <t>OC_TC</t>
  </si>
  <si>
    <t>Module</t>
  </si>
  <si>
    <t>Authentication | Search | Category Navigation | Product Compare | Wishlist | Shopping Cart | Currency | Registration | Login</t>
  </si>
  <si>
    <t>Version / Release</t>
  </si>
  <si>
    <t>1.0.0</t>
  </si>
  <si>
    <t>Base URL</t>
  </si>
  <si>
    <t>https://awesomeqa.com/ui/index.php</t>
  </si>
  <si>
    <t>Environment</t>
  </si>
  <si>
    <t>Staging</t>
  </si>
  <si>
    <t>Total Test Cases</t>
  </si>
  <si>
    <t>Priority Levels</t>
  </si>
  <si>
    <t>P0 / P1 / P2 / P3</t>
  </si>
  <si>
    <t>Prepared By</t>
  </si>
  <si>
    <t>Mohamed Ahmed</t>
  </si>
  <si>
    <t>Date Created</t>
  </si>
  <si>
    <t>Reviewed By</t>
  </si>
  <si>
    <t>Last Updated</t>
  </si>
  <si>
    <t>Approved By</t>
  </si>
  <si>
    <t>Status</t>
  </si>
  <si>
    <t>Ready for Review</t>
  </si>
  <si>
    <t xml:space="preserve">  🖥️  TEST ENVIRONMENT</t>
  </si>
  <si>
    <t>Browsers</t>
  </si>
  <si>
    <t>Chrome 120+  |  Firefox 120+  |  Edge 120+  |  Safari 17+</t>
  </si>
  <si>
    <t>Windows 11  |  macOS  |  Android  |  iOS</t>
  </si>
  <si>
    <t>Screen Sizes</t>
  </si>
  <si>
    <t>Desktop (1920×1080)  |  Tablet (768px)  |  Mobile (375px)</t>
  </si>
  <si>
    <t>Normal Load</t>
  </si>
  <si>
    <t xml:space="preserve">  🎯  SCOPE &amp; OBJECTIVES</t>
  </si>
  <si>
    <t>Test Objective</t>
  </si>
  <si>
    <t>Validate all functional, validation, boundary, security, and UI behaviors across the full OpenCart platform modules including Authentication, Search, Category Navigation, Product Compare, Wishlist, Shopping Cart, Currency, and more.</t>
  </si>
  <si>
    <t>In Scope</t>
  </si>
  <si>
    <t>Login &amp; Registration | Search (Functional, BVA, EP, Error Handling, UI) | Category Navigation | Product Compare | Wishlist | Shopping Cart | Currency Selector | Breadcrumb Navigation | Responsive UI | Performance | Security (SQL Injection, XSS) | Cross-browser | Mobile responsiveness</t>
  </si>
  <si>
    <t>Out of Scope</t>
  </si>
  <si>
    <t>Backend database internals | Third-party integrations | Payment gateway | Admin panel functionality</t>
  </si>
  <si>
    <t>Entry Criteria</t>
  </si>
  <si>
    <t>Application deployed on Staging | All modules accessible | Test data prepared | Test environment verified</t>
  </si>
  <si>
    <t>Exit Criteria</t>
  </si>
  <si>
    <t>All P0 &amp; P1 test cases executed | No open Blocker/Critical bugs | Test report reviewed and signed off</t>
  </si>
  <si>
    <t xml:space="preserve">  🚦  PRIORITY MODEL</t>
  </si>
  <si>
    <t>Priority Level</t>
  </si>
  <si>
    <t>Code</t>
  </si>
  <si>
    <t># Cases</t>
  </si>
  <si>
    <t>Definition</t>
  </si>
  <si>
    <t>P0 – Blocker</t>
  </si>
  <si>
    <t>P0</t>
  </si>
  <si>
    <t>Prevents core functionality or compromises security/data integrity</t>
  </si>
  <si>
    <t>P1 – High Risk</t>
  </si>
  <si>
    <t>P1</t>
  </si>
  <si>
    <t>Critical validation rules ensuring correct and secure behavior across all modules</t>
  </si>
  <si>
    <t>P2 – Medium Risk</t>
  </si>
  <si>
    <t>P2</t>
  </si>
  <si>
    <t>Boundary conditions, formatting, and non-critical functional behavior</t>
  </si>
  <si>
    <t>P3 – Low Risk</t>
  </si>
  <si>
    <t>P3</t>
  </si>
  <si>
    <t>UI, usability, accessibility, and visual behavior</t>
  </si>
  <si>
    <t>🧪  OpenCart Platform — Test Cases</t>
  </si>
  <si>
    <t>TC ID</t>
  </si>
  <si>
    <t>Test Case Title</t>
  </si>
  <si>
    <t>Sub-Module</t>
  </si>
  <si>
    <t>Priority</t>
  </si>
  <si>
    <t>Test Type</t>
  </si>
  <si>
    <t>Pre-conditions</t>
  </si>
  <si>
    <t>Test Steps</t>
  </si>
  <si>
    <t>Test Data</t>
  </si>
  <si>
    <t>Expected Result</t>
  </si>
  <si>
    <t>Actual Result</t>
  </si>
  <si>
    <t>Severity</t>
  </si>
  <si>
    <t>Tested By</t>
  </si>
  <si>
    <t>Exec Date</t>
  </si>
  <si>
    <t>Comments / Bug ID</t>
  </si>
  <si>
    <t>OC_AUTH_TC_001</t>
  </si>
  <si>
    <t>Verify Registration Succeeds When All Mandatory Fields Are Valid</t>
  </si>
  <si>
    <t>Registration – Core Flow</t>
  </si>
  <si>
    <t>Functional</t>
  </si>
  <si>
    <t>Registration page loaded</t>
  </si>
  <si>
    <t>1. Navigate to registration URL
2. Fill First Name: John
3. Fill Last Name: Doe
4. Fill Email: john.doe@test.com
5. Fill Telephone: 0501234567
6. Fill Password: Test@1234
7. Confirm Password: Test@1234
8. Accept Privacy Policy
9. Click Continue</t>
  </si>
  <si>
    <t>First Name: John | Last Name: Doe | Email: john.doe@test.com | Tel: 0501234567 | Password: Test@1234 | PP: Accepted</t>
  </si>
  <si>
    <t>User registered successfully | Redirected to account page | Welcome message displayed</t>
  </si>
  <si>
    <t>User is successfully registered after entering all valid mandatory fields. The system redirects the user to the account page, and a welcome message is displayed confirming successful registration.</t>
  </si>
  <si>
    <t>Pass</t>
  </si>
  <si>
    <t>Critical</t>
  </si>
  <si>
    <t>—</t>
  </si>
  <si>
    <t>OC_AUTH_TC_002</t>
  </si>
  <si>
    <t>Verify Registration Fails When First Name Contains SQL Injection Payload</t>
  </si>
  <si>
    <t>Registration – Security</t>
  </si>
  <si>
    <t>Security</t>
  </si>
  <si>
    <t>Registration page loaded
WAF/Firewall disabled or configured for testing
Database logging enabled</t>
  </si>
  <si>
    <t>1. Enter SQL injection in First Name: ' OR '1'='1
2. Fill other fields normally with valid data
3. Accept Privacy Policy
4. Click Continue</t>
  </si>
  <si>
    <t>First Name: ' OR '1'='1 | Others: valid</t>
  </si>
  <si>
    <t>Registration rejected | No SQL error exposed | Generic validation message shown | Application remains stable</t>
  </si>
  <si>
    <t>The system allowed registration to be completed despite entering SQL injection payload in the input field. The user account was successfully created, and the application redirected to the account information page. The injected input was stored and displayed as plain text in the user profile (e.g., name field contained ' OR '1'='1)</t>
  </si>
  <si>
    <t>Fail</t>
  </si>
  <si>
    <t>OC_AUTH_BUG_001</t>
  </si>
  <si>
    <t>OC_AUTH_TC_003</t>
  </si>
  <si>
    <t>Verify Registration Fails When First Name Contains XSS Script Payload</t>
  </si>
  <si>
    <t>1. Enter XSS payload in First Name: &lt;script&gt;alert('XSS')&lt;/script&gt;
2. Fill other fields normally
3. Accept Privacy Policy
4. Click Continue</t>
  </si>
  <si>
    <t>First Name: &lt;script&gt;alert('XSS')&lt;/script&gt;</t>
  </si>
  <si>
    <t>Registration rejected | Script not executed | No alert popup | Input sanitized | No executable code stored</t>
  </si>
  <si>
    <t>The system prevents registration submission when the First Name field contains XSS script input. A validation error message is displayed indicating that the First Name must be between 1 and 32 characters, and the registration process is blocked. No script execution or alert popup occurs, and the application remains stable.</t>
  </si>
  <si>
    <t>OC_AUTH_TC_004</t>
  </si>
  <si>
    <t>Verify Login Succeeds When All Credentials Are Valid</t>
  </si>
  <si>
    <t>Login – Core Flow</t>
  </si>
  <si>
    <t>Login page loaded
User account exists with email: test@domain.com and password: Test123!</t>
  </si>
  <si>
    <t>1. Navigate to login URL
2. Enter Email: test@domain.com
3. Enter Password: Test123!
4. Click Login</t>
  </si>
  <si>
    <t>Email: test@domain.com | Password: Test123!</t>
  </si>
  <si>
    <t>User logged in successfully | Redirected to My Account page | Dashboard fully rendered</t>
  </si>
  <si>
    <t>User logged in successfully  | The system redirected to the My Account page
All dashboard elements loaded and displayed correctly without errors.</t>
  </si>
  <si>
    <t>OC_AUTH_TC_005</t>
  </si>
  <si>
    <t>Verify Login Fails When Email Field Contains SQL Injection Payload</t>
  </si>
  <si>
    <t>Login – Security</t>
  </si>
  <si>
    <t>Login page loaded</t>
  </si>
  <si>
    <t>1. Enter SQL injection in Email: ' OR '1'='1
2. Enter any Password
3. Click Login</t>
  </si>
  <si>
    <t>Email: ' OR '1'='1 | Password: Test123!</t>
  </si>
  <si>
    <t>Login rejected | No SQL error exposed | Generic validation message shown | Application remains stable</t>
  </si>
  <si>
    <t>Login attempt was rejected. No SQL-related error messages were displayed.
A generic validation message was shown to the user.
The application remained stable and responsive.</t>
  </si>
  <si>
    <t>OC_AUTH_TC_006</t>
  </si>
  <si>
    <t>Verify Login Fails When Email Field Contains XSS Script Payload</t>
  </si>
  <si>
    <t>1. Enter XSS payload in Email: &lt;script&gt;alert('XSS')&lt;/script&gt;
2. Enter any Password
3. Click Login</t>
  </si>
  <si>
    <t>Email: &lt;script&gt;alert('XSS')&lt;/script&gt; | Password: Test123!</t>
  </si>
  <si>
    <t>Input sanitized or rejected | No script executed | No alert popup | Application remains stable</t>
  </si>
  <si>
    <t>Login attempt with XSS payload was handled securely.The input was sanitized/rejected successfully.
No script was executed, and no alert popup appeared.
The application remained stable and responsive without any issues.</t>
  </si>
  <si>
    <t>OC_AUTH_TC_007</t>
  </si>
  <si>
    <t>Verify Registration Fails When All Mandatory Fields Are Empty</t>
  </si>
  <si>
    <t>1. Leave all fields empty
2. Do NOT accept Privacy Policy
3. Click Continue</t>
  </si>
  <si>
    <t>All fields: empty | Privacy Policy: not accepted</t>
  </si>
  <si>
    <t>Registration rejected | Warning: "You must agree to the Privacy Policy!" | Validation errors for all required fields</t>
  </si>
  <si>
    <t>The system prevents registration submission when all mandatory fields are left empty. Validation error messages are displayed for all required fields, and a warning message stating that agreement to the Privacy Policy is required is shown.</t>
  </si>
  <si>
    <t>OC_AUTH_TC_008</t>
  </si>
  <si>
    <t>Verify Registration Fails When E-Mail Is Already Registered</t>
  </si>
  <si>
    <t>Registration – Email</t>
  </si>
  <si>
    <t>Email "existing@test.com" already registered in system</t>
  </si>
  <si>
    <t>1. Enter already-registered email: existing@test.com
2. Fill all other fields with valid data
3. Accept Privacy Policy
4. Click Continue</t>
  </si>
  <si>
    <t>Email: existing@test.com (duplicate)</t>
  </si>
  <si>
    <t>Registration rejected | Error: "Warning: E-Mail Address is already registered!"</t>
  </si>
  <si>
    <t>The system prevents registration when an already registered email address is entered. A warning message is displayed indicating that the E-Mail Address is already registered.</t>
  </si>
  <si>
    <t>OC_AUTH_TC_009</t>
  </si>
  <si>
    <t>Verify Registration Fails When E-Mail Matches Existing Account In Different Case</t>
  </si>
  <si>
    <t>Email "user@test.com" already registered in system</t>
  </si>
  <si>
    <t>1. Enter email in uppercase: USER@TEST.COM
2. Fill all other fields with valid data
3. Accept Privacy Policy
4. Click Continue</t>
  </si>
  <si>
    <t>Email: USER@TEST.COM (existing lowercase: user@test.com)</t>
  </si>
  <si>
    <t>Registration rejected | System treats emails as case-insensitive | Error: "Warning: E-Mail Address is already registered!"</t>
  </si>
  <si>
    <t>The system prevents registration when an email address that differs only in letter case from an already registered email is entered. The system treats email addresses as case-insensitive and displays a warning message indicating that the E-Mail Address is already registered.</t>
  </si>
  <si>
    <t>OC_AUTH_TC_010</t>
  </si>
  <si>
    <t>Verify Registration Fails When Telephone Is Already Registered</t>
  </si>
  <si>
    <t>Registration – Telephone</t>
  </si>
  <si>
    <t>System has existing account with Telephone: 0501234567</t>
  </si>
  <si>
    <t>1. Enter Telephone: 0501234567 (already registered)
2. Fill other fields with unique valid data
3. Accept Privacy Policy
4. Click Continue</t>
  </si>
  <si>
    <t>Telephone: 0501234567 (duplicate) | Others: unique valid data</t>
  </si>
  <si>
    <t>Registration rejected | System prevents duplicate telephone numbers</t>
  </si>
  <si>
    <t>The system allowed registration to be completed successfully even when the telephone number was already registered. No validation error was displayed, and the account was created using a duplicate telephone value.</t>
  </si>
  <si>
    <t>Major</t>
  </si>
  <si>
    <t>OC_AUTH_BUG_002</t>
  </si>
  <si>
    <t>OC_AUTH_TC_011</t>
  </si>
  <si>
    <t>Verify Registration Fails When Password And Password Confirm Do Not Match</t>
  </si>
  <si>
    <t>Registration – Password</t>
  </si>
  <si>
    <t>1. Fill Password: Test@1234
2. Fill Confirm Password: Test@5678
3. Fill other fields with valid data
4. Accept Privacy Policy
5. Click Continue</t>
  </si>
  <si>
    <t>Password: Test@1234 | Confirm: Test@5678</t>
  </si>
  <si>
    <t>Registration rejected | Error: "Password confirmation does not match password!"</t>
  </si>
  <si>
    <t>The system prevents registration submission when the Password and Confirm Password fields contain mismatched values. A validation error message is displayed indicating that the password confirmation does not match the password.</t>
  </si>
  <si>
    <t>OC_AUTH_TC_012</t>
  </si>
  <si>
    <t>Verify Registration Fails When Privacy Policy Is Not Checked</t>
  </si>
  <si>
    <t>Registration – Privacy Policy</t>
  </si>
  <si>
    <t>1. Fill all mandatory fields with valid data
2. Do NOT check Privacy Policy checkbox
3. Click Continue</t>
  </si>
  <si>
    <t>All fields: valid | Privacy Policy: unchecked</t>
  </si>
  <si>
    <t>Registration rejected | Error: "Warning: You must agree to the Privacy Policy!"</t>
  </si>
  <si>
    <t>The system prevents registration submission when the Privacy Policy checkbox is not selected. A warning message is displayed indicating that the user must agree to the Privacy Policy before proceeding with registration.</t>
  </si>
  <si>
    <t>OC_AUTH_TC_013</t>
  </si>
  <si>
    <t>Verify Registration Fails When Mandatory Fields Are Empty With Privacy Policy Checked</t>
  </si>
  <si>
    <t>1. Leave all mandatory fields empty
2. Accept Privacy Policy checkbox
3. Click Continue</t>
  </si>
  <si>
    <t>All mandatory fields: empty | Privacy Policy: checked</t>
  </si>
  <si>
    <t>Registration rejected | Validation errors displayed for all empty required fields</t>
  </si>
  <si>
    <t>The system prevents registration submission when all mandatory fields are left empty, even if the Privacy Policy checkbox is accepted. Validation error messages are displayed for all required fields, indicating that the missing information must be provided.</t>
  </si>
  <si>
    <t>OC_AUTH_TC_014</t>
  </si>
  <si>
    <t>Verify Registration Fails When First Name Is Empty</t>
  </si>
  <si>
    <t>Registration – First Name</t>
  </si>
  <si>
    <t>Registration page loaded | All other fields valid</t>
  </si>
  <si>
    <t>1. Leave First Name empty
2. Fill all other fields with valid data
3. Accept Privacy Policy
4. Click Continue</t>
  </si>
  <si>
    <t>First Name: (empty) | Others: valid</t>
  </si>
  <si>
    <t>Registration rejected | Error: "First Name must be between 1 and 32 characters!"</t>
  </si>
  <si>
    <t>The system prevents registration submission when the First Name field is left empty. An error message is displayed indicating that the First Name must be between 1 and 32 characters.</t>
  </si>
  <si>
    <t>OC_AUTH_TC_015</t>
  </si>
  <si>
    <t>Verify Registration Fails When Last Name Is Empty</t>
  </si>
  <si>
    <t>Registration – Last Name</t>
  </si>
  <si>
    <t>1. Leave Last Name empty
2. Fill all other fields with valid data
3. Accept Privacy Policy
4. Click Continue</t>
  </si>
  <si>
    <t>Last Name: (empty) | Others: valid</t>
  </si>
  <si>
    <t>Registration rejected | Error: "Last Name must be between 1 and 32 characters!"</t>
  </si>
  <si>
    <t>The system prevents registration submission when the Last Name field is left empty. An error message is displayed indicating that the Last Name must be between 1 and 32 characters.</t>
  </si>
  <si>
    <t>OC_AUTH_TC_016</t>
  </si>
  <si>
    <t>Verify Registration Fails When E-Mail Is Empty</t>
  </si>
  <si>
    <t>1. Leave Email empty
2. Fill all other fields with valid data
3. Accept Privacy Policy
4. Click Continue</t>
  </si>
  <si>
    <t>Email: (empty) | Others: valid</t>
  </si>
  <si>
    <t>Registration rejected | Error: "E-Mail Address does not appear to be valid!"</t>
  </si>
  <si>
    <t>The system prevents registration submission when the Email field is left empty. An error message is displayed indicating that the E-Mail Address does not appear to be valid.</t>
  </si>
  <si>
    <t>OC_AUTH_TC_017</t>
  </si>
  <si>
    <t>Verify Registration Fails When Telephone Is Empty</t>
  </si>
  <si>
    <t>1. Leave Telephone empty
2. Fill all other fields with valid data
3. Accept Privacy Policy
4. Click Continue</t>
  </si>
  <si>
    <t>Telephone: (empty) | Others: valid</t>
  </si>
  <si>
    <t>Registration rejected | Error: "Telephone must be between 3 and 32 characters!"</t>
  </si>
  <si>
    <t>The system prevents registration submission when the Telephone field is left empty. A validation error message is displayed indicating that the Telephone must be between 3 and 32 characters.</t>
  </si>
  <si>
    <t>OC_AUTH_TC_018</t>
  </si>
  <si>
    <t>Verify Registration Fails When Password Is Empty</t>
  </si>
  <si>
    <t>1. Leave Password empty
2. Fill all other fields with valid data
3. Accept Privacy Policy
4. Click Continue</t>
  </si>
  <si>
    <t>Password: (empty) | Others: valid</t>
  </si>
  <si>
    <t>Registration rejected | Error: "Password must be between 4 and 20 characters!"</t>
  </si>
  <si>
    <t>The system prevents registration submission when the Password field is left empty. A validation error message is displayed indicating that the Password must be between 4 and 20 characters.</t>
  </si>
  <si>
    <t>OC_AUTH_TC_019</t>
  </si>
  <si>
    <t>Verify Registration Fails When Password Confirm Is Empty</t>
  </si>
  <si>
    <t>1. Fill Password: Test@1234
2. Leave Confirm Password empty
3. Fill other fields with valid data
4. Accept Privacy Policy
5. Click Continue</t>
  </si>
  <si>
    <t>Password: Test@1234 | Confirm Password: (empty)</t>
  </si>
  <si>
    <t>The system prevents registration submission when the Confirm Password field is left empty. A validation error message is displayed indicating that the password confirmation does not match the password.</t>
  </si>
  <si>
    <t>OC_AUTH_TC_020</t>
  </si>
  <si>
    <t>Verify Registration Fails When Password Confirm Differs Only In Letter Case</t>
  </si>
  <si>
    <t>1. Fill Password: Test@1234
2. Fill Confirm Password: test@1234 (lowercase)
3. Fill other fields with valid data
4. Accept Privacy Policy
5. Click Continue</t>
  </si>
  <si>
    <t>Password: Test@1234 | Confirm: test@1234</t>
  </si>
  <si>
    <t xml:space="preserve">Registration rejected | Mismatch detected | Error displayed Password confirmation does not match password!
</t>
  </si>
  <si>
    <t>The system treats password comparison as case-sensitive. When the Password and Confirm Password fields differ in letter casing, the system detects a mismatch and prevents registration. A validation error message is displayed indicating that the password confirmation does not match the password.</t>
  </si>
  <si>
    <t>OC_AUTH_TC_021</t>
  </si>
  <si>
    <t>Verify Registration Fails When First Name Contains Numeric Characters</t>
  </si>
  <si>
    <t>1. Enter First Name: Mohamed123
2. Fill other fields with valid data
3. Accept Privacy Policy
4. Click Continue</t>
  </si>
  <si>
    <t>First Name: Mohamed123 | Others: valid</t>
  </si>
  <si>
    <t>Registration rejected | Validation error displayed for First Name</t>
  </si>
  <si>
    <t>The system allowed registration to be completed successfully even when the First Name field contained numeric characters. No validation error was displayed, and the account was created with the invalid First Name value stored in the system.</t>
  </si>
  <si>
    <t>OC_AUTH_BUG_003</t>
  </si>
  <si>
    <t>OC_AUTH_TC_022</t>
  </si>
  <si>
    <t>Verify Registration Fails When First Name Contains Special Characters</t>
  </si>
  <si>
    <t>1. Enter First Name: Mohamed@#$
2. Fill other fields with valid data
3. Accept Privacy Policy
4. Click Continue</t>
  </si>
  <si>
    <t>First Name: Mohamed@#$ | Others: valid</t>
  </si>
  <si>
    <t>The system allowed registration to be completed successfully even when the First Name field contained special characters. No validation error was displayed, and the account was created with the invalid First Name value stored in the system.</t>
  </si>
  <si>
    <t>OC_AUTH_BUG_004</t>
  </si>
  <si>
    <t>OC_AUTH_TC_023</t>
  </si>
  <si>
    <t>Verify Registration Fails When First Name Contains Whitespace Only</t>
  </si>
  <si>
    <t>1. Enter First Name: (spaces only)
2. Fill other fields with valid data
3. Accept Privacy Policy
4. Click Continue</t>
  </si>
  <si>
    <t>First Name: "   " (spaces only) | Others: valid</t>
  </si>
  <si>
    <t>The system prevented registration when the First Name field contained only whitespace characters. The input was treated as invalid  and a validation error message was displayed stating: "First Name must be between 1 and 32 characters!".</t>
  </si>
  <si>
    <t>OC_AUTH_TC_024</t>
  </si>
  <si>
    <t>Verify Registration Fails When Last Name Contains Numeric Characters</t>
  </si>
  <si>
    <t>1. Enter Last Name: Smith123
2. Fill other fields with valid data
3. Accept Privacy Policy
4. Click Continue</t>
  </si>
  <si>
    <t>Last Name: Smith123 | Others: valid</t>
  </si>
  <si>
    <t>Registration rejected | Validation error for Last Name</t>
  </si>
  <si>
    <t>The system allowed registration to be completed successfully even when the Last Name field contained numeric characters. No validation error was displayed, and the account was created with the invalid Last Name value stored in the system.</t>
  </si>
  <si>
    <t>OC_AUTH_BUG_005</t>
  </si>
  <si>
    <t>OC_AUTH_TC_025</t>
  </si>
  <si>
    <t>Verify Registration Fails When Last Name Contains Special Characters</t>
  </si>
  <si>
    <t>1. Enter Last Name: Smith@#$
2. Fill other fields with valid data
3. Accept Privacy Policy
4. Click Continue</t>
  </si>
  <si>
    <t>Last Name: Smith@#$ | Others: valid</t>
  </si>
  <si>
    <t>Registration rejected | Validation error displayed for Last Name</t>
  </si>
  <si>
    <t>The system allowed registration to be completed successfully even when the Last Name field contained special characters. No validation error was displayed, and the account was created with the invalid Last Name value stored in the system.</t>
  </si>
  <si>
    <t>OC_AUTH_BUG_006</t>
  </si>
  <si>
    <t>OC_AUTH_TC_026</t>
  </si>
  <si>
    <t>Verify Registration Fails When Last Name Contains Whitespace Only</t>
  </si>
  <si>
    <t>1. Enter Last Name: (spaces only)
2. Fill other fields with valid data
3. Accept Privacy Policy
4. Click Continue</t>
  </si>
  <si>
    <t>Last Name: "   " (spaces only) | Others: valid</t>
  </si>
  <si>
    <t>Registration rejected | Whitespace-only Last Name treated as empty</t>
  </si>
  <si>
    <t>The system prevented registration when the Last Name field contained only whitespace characters. The input was treated as invalid  and a validation error message was displayed stating: "Last Name must be between 1 and 32 characters!".</t>
  </si>
  <si>
    <t>OC_AUTH_TC_027</t>
  </si>
  <si>
    <t>Verify Registration Fails When E-Mail Is Missing @ Symbol</t>
  </si>
  <si>
    <t>1. Enter Email: testdomain.com (no @)
2. Fill other fields with valid data
3. Accept Privacy Policy
4. Click Continue</t>
  </si>
  <si>
    <t>Email: testdomain.com | Others: valid</t>
  </si>
  <si>
    <t>Registration rejected | Error: "Please include an '@' in the email address"</t>
  </si>
  <si>
    <t xml:space="preserve">The system prevented registration when the email address was entered without the “@” symbol. A validation error message was displayed indicating that the email format is invalid and requires an “@” in the address.
</t>
  </si>
  <si>
    <t>OC_AUTH_TC_028</t>
  </si>
  <si>
    <t>Verify Registration Fails When E-Mail Is Missing Domain Part</t>
  </si>
  <si>
    <t>1. Enter Email: test@ (missing domain)
2. Fill other fields with valid data
3. Accept Privacy Policy
4. Click Continue</t>
  </si>
  <si>
    <t>Email: test@ | Others: valid</t>
  </si>
  <si>
    <t>Registration rejected | Error: Please enter a part following '@'</t>
  </si>
  <si>
    <t>The system prevented registration when the email address was entered without a valid domain part after the “@” symbol. A validation error message was displayed indicating that a valid domain must follow the “@”.</t>
  </si>
  <si>
    <t>OC_AUTH_TC_029</t>
  </si>
  <si>
    <t>Verify Registration Fails When E-Mail Is Missing Local Part</t>
  </si>
  <si>
    <t>1. Enter Email: @domain.com (missing username)
2. Fill other fields with valid data
3. Accept Privacy Policy
4. Click Continue</t>
  </si>
  <si>
    <t>Email: @domain.com | Others: valid</t>
  </si>
  <si>
    <t>The system prevented registration when the email address was entered without a local part before the “@” symbol. A validation error message was displayed indicating that a valid email format is required.</t>
  </si>
  <si>
    <t>OC_AUTH_TC_030</t>
  </si>
  <si>
    <t>Verify Registration Fails When E-Mail Is Missing Top-Level Domain</t>
  </si>
  <si>
    <t>1. Enter Email: testuser@domain (no TLD)
2. Fill other fields with valid data
3. Accept Privacy Policy
4. Click Continue</t>
  </si>
  <si>
    <t>Email: testuser@domain | Others: valid</t>
  </si>
  <si>
    <t>The system prevented registration when the email address was entered without a valid top-level domain. A validation error message was displayed indicating that the E-Mail Address does not appear to be valid.</t>
  </si>
  <si>
    <t>OC_AUTH_TC_031</t>
  </si>
  <si>
    <t>Verify Registration Fails When E-Mail Contains Consecutive Dots</t>
  </si>
  <si>
    <t>1. Enter Email: test..user@domain.com
2. Fill other fields with valid data
3. Accept Privacy Policy
4. Click Continue</t>
  </si>
  <si>
    <t>Email: test..user@domain.com | Others: valid</t>
  </si>
  <si>
    <t>The system prevented registration when the email address contained consecutive dots. A validation error message was displayed indicating that the E-Mail Address does not appear to be valid.</t>
  </si>
  <si>
    <t>OC_AUTH_TC_032</t>
  </si>
  <si>
    <t>Verify Registration Fails When E-Mail Contains Illegal Characters</t>
  </si>
  <si>
    <t>1. Enter Email: te#st@domain.com
2. Fill other fields with valid data
3. Accept Privacy Policy
4. Click Continue</t>
  </si>
  <si>
    <t>Email: te#st@domain.com | Others: valid</t>
  </si>
  <si>
    <t xml:space="preserve">The system allowed registration to be completed successfully even when the email address contained illegal characters. No validation error was displayed, and the account was created with an invalid email format </t>
  </si>
  <si>
    <t>OC_AUTH_BUG_007</t>
  </si>
  <si>
    <t>OC_AUTH_TC_033</t>
  </si>
  <si>
    <t>Verify Registration Fails When Telephone Contains Alphabetic Characters</t>
  </si>
  <si>
    <t>1. Enter Telephone: test (alphabetic)
2. Fill other fields with valid data
3. Accept Privacy Policy
4. Click Continue</t>
  </si>
  <si>
    <t>Telephone: test | Others: valid</t>
  </si>
  <si>
    <t>Registration rejected | Telephone must be numeric only</t>
  </si>
  <si>
    <t xml:space="preserve">The system allowed registration to be completed successfully even when the Telephone field contained alphabetic characters. No validation error was displayed, and the account was created with the invalid telephone </t>
  </si>
  <si>
    <t>OC_AUTH_BUG_008</t>
  </si>
  <si>
    <t>OC_AUTH_TC_034</t>
  </si>
  <si>
    <t>Verify Registration Fails When Telephone Contains Special Characters</t>
  </si>
  <si>
    <t>1. Enter Telephone: te#st
2. Fill other fields with valid data
3. Accept Privacy Policy
4. Click Continue</t>
  </si>
  <si>
    <t>Telephone: te#st | Others: valid</t>
  </si>
  <si>
    <t>Registration rejected | Special characters in telephone not allowed</t>
  </si>
  <si>
    <t xml:space="preserve">The system allowed registration to be completed successfully even when the Telephone field contained special characters. No validation error was displayed, and the account was created with the invalid telephone </t>
  </si>
  <si>
    <t>OC_AUTH_BUG_009</t>
  </si>
  <si>
    <t>OC_AUTH_TC_035</t>
  </si>
  <si>
    <t>Verify Registration Fails When Telephone Contains Whitespace Only</t>
  </si>
  <si>
    <t>1. Enter Telephone: (spaces only)
2. Fill other fields with valid data
3. Accept Privacy Policy
4. Click Continue</t>
  </si>
  <si>
    <t>Telephone: "   " (spaces only) | Others: valid</t>
  </si>
  <si>
    <t>Registration rejected | Whitespace-only telephone treated as empty</t>
  </si>
  <si>
    <t xml:space="preserve">The system allowed registration to be completed successfully even when the Telephone field contained only whitespace characters. No validation error was displayed, and the account was created with an invalid telephone </t>
  </si>
  <si>
    <t>OC_AUTH_BUG_010</t>
  </si>
  <si>
    <t>OC_AUTH_TC_036</t>
  </si>
  <si>
    <t>Verify Registration Fails When Password Contains Whitespace Only</t>
  </si>
  <si>
    <t>1. Enter Password: (spaces only)
2. Enter Confirm Password: (spaces only)
3. Fill other fields with valid data
4. Accept Privacy Policy
5. Click Continue</t>
  </si>
  <si>
    <t>Password: "    " (spaces) | Confirm: "    " (spaces)</t>
  </si>
  <si>
    <t>The system allowed registration submission when the Password field contained only whitespace characters. No validation error specific to whitespace input was displayed, and the account was created using an invalid password value.</t>
  </si>
  <si>
    <t>OC_AUTH_BUG_011</t>
  </si>
  <si>
    <t>OC_AUTH_TC_037</t>
  </si>
  <si>
    <t>Verify Registration Fails When First Name Has Leading Or Trailing Spaces</t>
  </si>
  <si>
    <t>Registration – Formatting</t>
  </si>
  <si>
    <t>1. Enter First Name with leading space: " Mohamed"
2. Fill other fields with valid data
3. Accept Privacy Policy
4. Click Continue
5. Repeat with trailing space: "Mohamed "</t>
  </si>
  <si>
    <t>First Name: " Mohamed" (leading space) | "Mohamed " (trailing space)</t>
  </si>
  <si>
    <t>Registration rejected | Leading/trailing spaces not accepted | Validation error displayed</t>
  </si>
  <si>
    <t>The system allowed registration to be completed successfully when the First Name field contained leading and trailing spaces. The spaces were not rejected or trimmed before processing, and no validation error was displayed. The account was created with the input value including whitespace.</t>
  </si>
  <si>
    <t>OC_AUTH_BUG_012</t>
  </si>
  <si>
    <t>OC_AUTH_TC_038</t>
  </si>
  <si>
    <t>Verify Registration Fails When Last Name Has Leading Or Trailing Spaces</t>
  </si>
  <si>
    <t>1. Enter Last Name with leading space: " Smith"
2. Fill other fields with valid data
3. Accept Privacy Policy
4. Click Continue
5. Repeat with trailing space: "Smith "</t>
  </si>
  <si>
    <t>Last Name: " Smith" (leading space) | "Smith " (trailing space)</t>
  </si>
  <si>
    <t>The system allowed registration to be completed successfully when the Last Name field contained leading and trailing spaces. The spaces were not rejected or trimmed before processing, and no validation error was displayed. The account was created with the input value including whitespace.</t>
  </si>
  <si>
    <t>OC_AUTH_BUG_013</t>
  </si>
  <si>
    <t>OC_AUTH_TC_039</t>
  </si>
  <si>
    <t>Verify System Trims Leading And Trailing Spaces From E-Mail Field</t>
  </si>
  <si>
    <t>1. Enter Email with leading space: " test@domain.com"
2. Fill other fields with valid data
3. Accept Privacy Policy
4. Click Continue
5. Repeat with trailing space: "test@domain.com "</t>
  </si>
  <si>
    <t>Email: " test@domain.com" (leading space) | "test@domain.com " (trailing space)</t>
  </si>
  <si>
    <t>Email trimmed before validation | Spaces removed automatically | Registration accepted with cleaned email</t>
  </si>
  <si>
    <t>The system automatically removed leading and trailing spaces from the email address before processing registration. The cleaned email was accepted, and the registration was completed successfully.</t>
  </si>
  <si>
    <t>OC_AUTH_TC_040</t>
  </si>
  <si>
    <t>Verify Registration Fails When Telephone Has Leading Or Trailing Spaces</t>
  </si>
  <si>
    <t>1. Enter Telephone with leading space: " 1234"
2. Fill other fields with valid data
3. Accept Privacy Policy
4. Click Continue
5. Repeat with trailing space: "1234 "</t>
  </si>
  <si>
    <t>Telephone: " 1234" (leading space) | "1234 " (trailing space)</t>
  </si>
  <si>
    <t>Registration rejected | Spaces in telephone not accepted</t>
  </si>
  <si>
    <t>The system allowed registration to be completed successfully when the Telephone field contained leading and trailing spaces. The spaces were not trimmed and were treated as valid characters, resulting in the telephone value being stored exactly as entered.</t>
  </si>
  <si>
    <t>OC_AUTH_BUG_014</t>
  </si>
  <si>
    <t>OC_AUTH_TC_041</t>
  </si>
  <si>
    <t>Verify Registration Fails When Password Has Leading Or Trailing Spaces</t>
  </si>
  <si>
    <t>1. Enter Password with leading space: " Test@123"
2. Enter matching Confirm Password
3. Fill other fields with valid data
4. Accept Privacy Policy
5. Click Continue</t>
  </si>
  <si>
    <t>Password: " Test@123" (leading space) | Confirm: " Test@123"</t>
  </si>
  <si>
    <t>Registration rejected | Passwords with leading/trailing spaces not accepted</t>
  </si>
  <si>
    <t>The system allowed registration to be completed successfully when the Password field contained leading and trailing spaces. The spaces were not trimmed and were treated as valid characters, resulting in the password being stored exactly as entered.</t>
  </si>
  <si>
    <t>OC_AUTH_BUG_015</t>
  </si>
  <si>
    <t>OC_AUTH_TC_042</t>
  </si>
  <si>
    <t>Verify Login Fails When All Fields Are Empty</t>
  </si>
  <si>
    <t>1. Leave Email and Password fields empty
2. Click Login</t>
  </si>
  <si>
    <t>Email: (empty) | Password: (empty)</t>
  </si>
  <si>
    <t>Form not submitted | Validation error messages displayed for both fields</t>
  </si>
  <si>
    <t>Form submission was prevented when all fields were empty | Validation error messages displayed for both Email and Password fields | No request sent to the server | User remained on the login page | Application remained stable without errors</t>
  </si>
  <si>
    <t>OC_AUTH_TC_043</t>
  </si>
  <si>
    <t>Verify Login Fails When Email Field Is Empty</t>
  </si>
  <si>
    <t>Login – Email</t>
  </si>
  <si>
    <t>Login page loaded | Valid password available</t>
  </si>
  <si>
    <t>1. Leave Email field empty
2. Enter valid Password: Test123!
3. Click Login</t>
  </si>
  <si>
    <t>Email: (empty) | Password: Test123!</t>
  </si>
  <si>
    <t>Login rejected | Validation error appears next to Email field</t>
  </si>
  <si>
    <t>Login rejected | Validation error displayed next to Email field | No request sent to server | User remained on login page</t>
  </si>
  <si>
    <t>OC_AUTH_TC_044</t>
  </si>
  <si>
    <t>Verify Login Fails When Password Field Is Empty</t>
  </si>
  <si>
    <t>Login – Password</t>
  </si>
  <si>
    <t>1. Enter valid Email: test@domain.com
2. Leave Password field empty
3. Click Login</t>
  </si>
  <si>
    <t>Email: test@domain.com | Password: (empty)</t>
  </si>
  <si>
    <t>Login rejected | Validation error appears next to Password field</t>
  </si>
  <si>
    <t>Login rejected | Validation error displayed next to Password field | No request sent to server | User remained on login page</t>
  </si>
  <si>
    <t>OC_AUTH_TC_045</t>
  </si>
  <si>
    <t>Verify Login Fails When Email Is Missing @ Symbol</t>
  </si>
  <si>
    <t>1. Enter Email: testdomain.com (no @)
2. Enter valid Password
3. Click Login</t>
  </si>
  <si>
    <t>Email: testdomain.com | Password: Test123!</t>
  </si>
  <si>
    <t>Login rejected | Format validation error displayed</t>
  </si>
  <si>
    <t>Login rejected | Email format validation error displayed | No request sent to server | User remained on login page</t>
  </si>
  <si>
    <t>OC_AUTH_TC_046</t>
  </si>
  <si>
    <t>Verify Login Fails When Email Is Missing Domain Part</t>
  </si>
  <si>
    <t>1. Enter Email: test@ (missing domain)
2. Enter valid Password
3. Click Login</t>
  </si>
  <si>
    <t>Email: test@ | Password: Test123!</t>
  </si>
  <si>
    <t>Login rejected | Validation error displayed and login blocked</t>
  </si>
  <si>
    <t>Login rejected | Email validation error displayed | Login request blocked | User remained on login page</t>
  </si>
  <si>
    <t>OC_AUTH_TC_047</t>
  </si>
  <si>
    <t>Verify Login Fails When Email Contains Illegal Characters</t>
  </si>
  <si>
    <t>1. Enter Email: te#st@domain.com
2. Enter valid Password
3. Click Login</t>
  </si>
  <si>
    <t>Email: te#st@domain.com | Password: Test123!</t>
  </si>
  <si>
    <t>OC_AUTH_TC_048</t>
  </si>
  <si>
    <t>Verify Login Fails When Email Is Not Registered</t>
  </si>
  <si>
    <t>Login – Authentication</t>
  </si>
  <si>
    <t>Login page loaded | Email: notfound@domain.com is not registered</t>
  </si>
  <si>
    <t>1. Enter Email: notfound@domain.com
2. Enter any Password
3. Click Login</t>
  </si>
  <si>
    <t>Email: notfound@domain.com | Password: Test123!</t>
  </si>
  <si>
    <t>Login rejected | Warning: "No match for E-Mail Address and/or Password" displayed</t>
  </si>
  <si>
    <t>Login rejected | Warning: "No match for E-Mail Address and/or Password" displayed | No account information revealed | User remained on login page</t>
  </si>
  <si>
    <t>OC_AUTH_TC_049</t>
  </si>
  <si>
    <t>Verify Login Fails When Password Is Incorrect</t>
  </si>
  <si>
    <t>Login page loaded | Account exists with password: Test123!</t>
  </si>
  <si>
    <t>1. Enter valid Email: test@domain.com
2. Enter wrong Password: WrongPass!
3. Click Login</t>
  </si>
  <si>
    <t>Email: test@domain.com | Password: WrongPass!</t>
  </si>
  <si>
    <t>Login rejected | Generic error: "No match for E-Mail Address and/or Password" displayed without revealing which field is wrong</t>
  </si>
  <si>
    <t>OC_AUTH_TC_050</t>
  </si>
  <si>
    <t>Verify Login Fails When Password Differs Only In Letter Case</t>
  </si>
  <si>
    <t>Login page loaded | Account password is: Test123! (capital T)</t>
  </si>
  <si>
    <t>1. Enter valid Email: test@domain.com
2. Enter Password: test123! (lowercase t)
3. Click Login</t>
  </si>
  <si>
    <t>Email: test@domain.com | Password: test123!</t>
  </si>
  <si>
    <t>Password treated as case-sensitive | Login rejected | Generic error message displayed</t>
  </si>
  <si>
    <t>OC_AUTH_TC_051</t>
  </si>
  <si>
    <t>Verify Login Succeeds When Email Is Entered In Uppercase (Case-Insensitive)</t>
  </si>
  <si>
    <t>Login page loaded | Account exists with lowercase email: test@domain.com</t>
  </si>
  <si>
    <t>1. Enter Email: TEST@DOMAIN.COM (uppercase)
2. Enter correct Password: Test123!
3. Click Login</t>
  </si>
  <si>
    <t>Email: TEST@DOMAIN.COM | Password: Test123!</t>
  </si>
  <si>
    <t>System treats email as case-insensitive | Login succeeds | Redirected to My Account</t>
  </si>
  <si>
    <t>OC_AUTH_TC_052</t>
  </si>
  <si>
    <t>Verify System Trims Leading Spaces From Email Field</t>
  </si>
  <si>
    <t>Login – Input Handling</t>
  </si>
  <si>
    <t>Login page loaded | Account exists with email: test@domain.com</t>
  </si>
  <si>
    <t>1. Enter Email with leading space: " test@domain.com"
2. Enter correct Password
3. Click Login</t>
  </si>
  <si>
    <t>Email: " test@domain.com" (leading space) | Password: Test123!</t>
  </si>
  <si>
    <t>Spaces trimmed automatically | Login succeeds after trimming</t>
  </si>
  <si>
    <t>Login failed | Leading spaces in Email field were not trimmed | User remained on login page | Validation/login error displayed | No successful authentication occurred</t>
  </si>
  <si>
    <t>OC_AUTH_BUG_016</t>
  </si>
  <si>
    <t>OC_AUTH_TC_053</t>
  </si>
  <si>
    <t>Verify System Trims Trailing Spaces From Email Field</t>
  </si>
  <si>
    <t>1. Enter Email with trailing space: "test@domain.com "
2. Enter correct Password
3. Click Login</t>
  </si>
  <si>
    <t>Email: "test@domain.com " (trailing space) | Password: Test123!</t>
  </si>
  <si>
    <t>Login succeeded | Trailing spaces in Email field were trimmed automatically | User was redirected to My Account page | Dashboard loaded successfully</t>
  </si>
  <si>
    <t>OC_AUTH_TC_054</t>
  </si>
  <si>
    <t>Verify Authenticated Users Are Redirected Away From Login Page</t>
  </si>
  <si>
    <t>User is already logged in</t>
  </si>
  <si>
    <t>1. Log in with valid credentials
2. Navigate directly to the login page URL</t>
  </si>
  <si>
    <t>User already authenticated</t>
  </si>
  <si>
    <t>User is automatically redirected to My Account page | Login page is not displayed</t>
  </si>
  <si>
    <t>User was automatically redirected to My Account page | Login page was not accessible for authenticated user | Dashboard loaded successfully</t>
  </si>
  <si>
    <t>OC_AUTH_TC_055</t>
  </si>
  <si>
    <t>Verify Session Persists After Successful Login</t>
  </si>
  <si>
    <t>Login – Session</t>
  </si>
  <si>
    <t>User is logged in with valid credentials</t>
  </si>
  <si>
    <t>1. Log in with valid credentials
2. Navigate to My Account page
3. Observe session state</t>
  </si>
  <si>
    <t>Session remains active | Account details and order history are accessible</t>
  </si>
  <si>
    <t>OC_AUTH_TC_056</t>
  </si>
  <si>
    <t>Verify Password Field Masks All Entered Characters</t>
  </si>
  <si>
    <t>1. Click on the Password field
2. Type any characters
3. Observe the field display</t>
  </si>
  <si>
    <t>Password: any characters typed</t>
  </si>
  <si>
    <t>All characters appear masked (e.g., dots or asterisks) | No plain text visible at any point</t>
  </si>
  <si>
    <t>OC_AUTH_TC_057</t>
  </si>
  <si>
    <t>Verify Password Reset Email Is Sent For Valid Registered Email</t>
  </si>
  <si>
    <t>Login – Recovery</t>
  </si>
  <si>
    <t>Forgotten Password page loaded | Email: test@domain.com is registered</t>
  </si>
  <si>
    <t>1. Navigate to Forgotten Password page
2. Enter Email: test@domain.com
3. Click Continue</t>
  </si>
  <si>
    <t>Email: test@domain.com (registered)</t>
  </si>
  <si>
    <t>System confirms reset email has been sent | Email received within a reasonable timeframe</t>
  </si>
  <si>
    <t>Reset password request was not successful | No reset email was received for the registered email  | Password reset process was not completed</t>
  </si>
  <si>
    <t>OC_AUTH_BUG_017</t>
  </si>
  <si>
    <t>OC_AUTH_TC_058</t>
  </si>
  <si>
    <t>Verify Expired Reset Link Is Rejected With Appropriate Error</t>
  </si>
  <si>
    <t>User received a password reset link | Link has expired</t>
  </si>
  <si>
    <t>1. Click the expired reset link from email
2. Observe system response</t>
  </si>
  <si>
    <t>Expired reset link URL</t>
  </si>
  <si>
    <t>System rejects the link | Appropriate expiry error message displayed | Prompt to request a new link</t>
  </si>
  <si>
    <t>Reset link is not generated or sent | Test case cannot be executed as precondition is not met</t>
  </si>
  <si>
    <t>Blocked</t>
  </si>
  <si>
    <t>Blocked | Depends on OC_AUTH_BUG_017 fix (TC_057)</t>
  </si>
  <si>
    <t>OC_AUTH_TC_059</t>
  </si>
  <si>
    <t>Verify Already Used Reset Link Is Rejected With Appropriate Error</t>
  </si>
  <si>
    <t>User already used the reset link successfully once</t>
  </si>
  <si>
    <t>1. Click the previously used reset link again
2. Observe system response</t>
  </si>
  <si>
    <t>Already-used reset link URL</t>
  </si>
  <si>
    <t>System rejects the link | Appropriate error message displayed</t>
  </si>
  <si>
    <t>OC_AUTH_TC_060</t>
  </si>
  <si>
    <t>Verify Browser Back Button After Logout Does Not Allow Access To Account Pages</t>
  </si>
  <si>
    <t>Login – Access Control</t>
  </si>
  <si>
    <t>User has just logged out</t>
  </si>
  <si>
    <t>1. After logout, press the browser Back button
2. Observe if previously viewed account pages are accessible</t>
  </si>
  <si>
    <t>User: logged out | Browser: Back button pressed</t>
  </si>
  <si>
    <t>Previously viewed account pages are not accessible | Redirected to login page</t>
  </si>
  <si>
    <t>After logout, user was able to navigate back using browser back button | Previously accessed account page (Account Information) was displayed again | User data was still visible without re-authentication | Session was not properly invalidated</t>
  </si>
  <si>
    <t>OC_AUTH_BUG_018</t>
  </si>
  <si>
    <t>OC_AUTH_TC_061</t>
  </si>
  <si>
    <t>Verify Direct URL Access After Logout Redirects To Login Page</t>
  </si>
  <si>
    <t>1. After logout, type a protected URL directly in the address bar (e.g., My Account)
2. Observe system response</t>
  </si>
  <si>
    <t>User: logged out | Direct URL: My Account page</t>
  </si>
  <si>
    <t>Access denied | Redirected to login page</t>
  </si>
  <si>
    <t>Access to account pages via direct URL was denied after logout | User was redirected to login page | No account data was displayed | System required re-authentication</t>
  </si>
  <si>
    <t>OC_AUTH_TC_062</t>
  </si>
  <si>
    <t>Verify Registration Fails When First Name Exceeds 32 Characters</t>
  </si>
  <si>
    <t>1. Enter First Name with 33 characters (Max+1)
2. Fill other fields with valid data
3. Accept Privacy Policy
4. Click Continue</t>
  </si>
  <si>
    <t>First Name: 33-char string (e.g. "Aaaaaaaaaaaaaaaaaaaaaaaaaaaaaaaaaa") | Others: valid</t>
  </si>
  <si>
    <t>The system prevented registration when the First Name exceeded the maximum allowed length. A validation error message was displayed indicating that the First Name must be between 1 and 32 characters, and the registration process was blocked.</t>
  </si>
  <si>
    <t>OC_AUTH_TC_063</t>
  </si>
  <si>
    <t>Verify Registration Fails When Last Name Exceeds 32 Characters</t>
  </si>
  <si>
    <t>1. Enter Last Name with 33 characters (Max+1)
2. Fill other fields with valid data
3. Accept Privacy Policy
4. Click Continue</t>
  </si>
  <si>
    <t>Last Name: 33-char string | Others: valid</t>
  </si>
  <si>
    <t>The system prevented registration when the Last Name exceeded the maximum allowed length. A validation error message was displayed indicating that the Last Name must be between 1 and 32 characters, and the registration process was blocked.</t>
  </si>
  <si>
    <t>OC_AUTH_TC_064</t>
  </si>
  <si>
    <t>Verify Registration Fails When E-Mail Is Below Minimum Length</t>
  </si>
  <si>
    <t>1. Enter Email with 5 characters (Min-1): a@b.c
2. Fill other fields with valid data
3. Accept Privacy Policy
4. Click Continue</t>
  </si>
  <si>
    <t>Email: a@b.c (5 chars, Min-1=5) | Others: valid</t>
  </si>
  <si>
    <t>Registration rejected |  Error: "E-Mail Address does not appear to be valid!"</t>
  </si>
  <si>
    <t>The system allowed registration to be completed successfully even when the email address was below the minimum required length. No validation error was displayed, and the account was created with an invalid email value</t>
  </si>
  <si>
    <t>OC_AUTH_BUG_019</t>
  </si>
  <si>
    <t>OC_AUTH_TC_065</t>
  </si>
  <si>
    <t>Verify Registration Fails When E-Mail Exceeds 96 Characters</t>
  </si>
  <si>
    <t>1.Enter Email with 97 characters (65 before @ and 31 after)
2. Fill other fields with valid data
3. Accept Privacy Policy
4. Click Continue</t>
  </si>
  <si>
    <t>Email: 97-char email string | Others: valid</t>
  </si>
  <si>
    <t>The system prevented registration when an email address exceeding the maximum allowed length was entered. A validation error message was displayed indicating that the E-Mail Address does not appear to be valid, and the registration process was blocked.</t>
  </si>
  <si>
    <t>OC_AUTH_TC_066</t>
  </si>
  <si>
    <t>Verify Registration Fails When Telephone Is Below 3 Characters</t>
  </si>
  <si>
    <t>1. Enter Telephone with 2 digits (Min-1)
2. Fill other fields with valid data
3. Accept Privacy Policy
4. Click Continue</t>
  </si>
  <si>
    <t>Telephone:  (2 digits, Min-1) | Others: valid</t>
  </si>
  <si>
    <t>Registration rejected | Telephone must be between 3 and 32 characters!</t>
  </si>
  <si>
    <t>The system prevented registration when the Telephone field contained a value below the minimum allowed length. A validation error message was displayed stating that the Telephone must be between 3 and 32 characters, and the registration process was blocked.</t>
  </si>
  <si>
    <t>OC_AUTH_TC_067</t>
  </si>
  <si>
    <t>Verify Registration Fails When Telephone Exceeds 32 Characters</t>
  </si>
  <si>
    <t>1. Enter Telephone with 33 digits (Max+1)
2. Fill other fields with valid data
3. Accept Privacy Policy
4. Click Continue</t>
  </si>
  <si>
    <t>Telephone: 33-digit number | Others: valid</t>
  </si>
  <si>
    <t>The system prevented registration when the Telephone field exceeded the maximum allowed length. A validation error message was displayed stating that the Telephone must be between 3 and 32 characters, and the registration process was blocked.</t>
  </si>
  <si>
    <t>OC_AUTH_TC_068</t>
  </si>
  <si>
    <t>Verify Registration Fails When Password Is Below 4 Characters</t>
  </si>
  <si>
    <t>1. Enter Password: abc (3 chars, Min-1)
2. Enter Confirm Password: abc
3. Fill other fields with valid data
4. Accept Privacy Policy
5. Click Continue</t>
  </si>
  <si>
    <t>Password: abc (3 chars, Min-1=3) | Confirm: abc</t>
  </si>
  <si>
    <t>The system prevented registration when the Password field contained a value below the minimum allowed length. A validation error message was displayed stating that the Password must be between 4 and 20 characters, and the registration process was blocked.</t>
  </si>
  <si>
    <t>OC_AUTH_TC_069</t>
  </si>
  <si>
    <t>Verify Registration Fails When Password Exceeds 20 Characters</t>
  </si>
  <si>
    <t>1. Enter Password: 21-character string (Max+1)
2. Enter matching Confirm Password
3. Fill other fields with valid data
4. Accept Privacy Policy
5. Click Continue</t>
  </si>
  <si>
    <t>Password: 21-char string (Max+1=21) | Confirm: same</t>
  </si>
  <si>
    <t>The system allowed registration submission even when the Password field exceeded the maximum allowed length. No validation error was displayed, and the account was created successfully with an over-length password.</t>
  </si>
  <si>
    <t>OC_AUTH_BUG_020</t>
  </si>
  <si>
    <t>OC_AUTH_TC_070</t>
  </si>
  <si>
    <t>Verify Registration Succeeds When First Name Is 1 Character (Min)</t>
  </si>
  <si>
    <t>Boundary</t>
  </si>
  <si>
    <t>1. Enter First Name: A (1 char, Min)
2. Fill other fields with valid data
3. Accept Privacy Policy
4. Click Continue</t>
  </si>
  <si>
    <t>First Name: A (1 char = Min) | Others: valid</t>
  </si>
  <si>
    <t>Registration accepted | 1-character First Name is valid</t>
  </si>
  <si>
    <t>The system allowed registration to be completed successfully when the First Name field contained a single character. No validation error was displayed, and the user account was created successfully.</t>
  </si>
  <si>
    <t>Minor</t>
  </si>
  <si>
    <t>OC_AUTH_TC_071</t>
  </si>
  <si>
    <t>Verify Registration Succeeds When First Name Is 2 Characters (Min+1)</t>
  </si>
  <si>
    <t>1. Enter First Name: Ab (2 chars, Min+1)
2. Fill other fields with valid data
3. Accept Privacy Policy
4. Click Continue</t>
  </si>
  <si>
    <t>First Name: Ab (2 chars = Min+1) | Others: valid</t>
  </si>
  <si>
    <t>Registration accepted | 2-character First Name is valid</t>
  </si>
  <si>
    <t>The system allowed registration to be completed successfully when the First Name field contained two characters. No validation error was displayed, and the user account was created successfully.</t>
  </si>
  <si>
    <t>OC_AUTH_TC_072</t>
  </si>
  <si>
    <t>Verify Registration Succeeds When First Name Is 31 Characters (Max-1)</t>
  </si>
  <si>
    <t>1. Enter First Name with 31 characters (Max-1)
2. Fill other fields with valid data
3. Accept Privacy Policy
4. Click Continue</t>
  </si>
  <si>
    <t>First Name: 31-char string (Max-1) | Others: valid</t>
  </si>
  <si>
    <t>Registration accepted | 31-character First Name is valid</t>
  </si>
  <si>
    <t>The system allowed registration to be completed successfully when the First Name field contained 31 characters (maximum allowed length minus one). No validation error was displayed, and the user account was created successfully.</t>
  </si>
  <si>
    <t>OC_AUTH_TC_073</t>
  </si>
  <si>
    <t>Verify Registration Succeeds When First Name Is 32 Characters (Max)</t>
  </si>
  <si>
    <t>1. Enter First Name with 32 characters (Max)
2. Fill other fields with valid data
3. Accept Privacy Policy
4. Click Continue</t>
  </si>
  <si>
    <t>First Name: 32-char string (Max=32) | Others: valid</t>
  </si>
  <si>
    <t>Registration accepted | 32-character First Name is valid (boundary)</t>
  </si>
  <si>
    <t>The system allowed registration to be completed successfully when the First Name field contained 32 characters (maximum allowed length). No validation error was displayed, and the user account was created successfully.</t>
  </si>
  <si>
    <t>OC_AUTH_TC_074</t>
  </si>
  <si>
    <t>Verify Registration Succeeds When Last Name Is 1 Character (Min)</t>
  </si>
  <si>
    <t>1. Enter Last Name: A (1 char, Min)
2. Fill other fields with valid data
3. Accept Privacy Policy
4. Click Continue</t>
  </si>
  <si>
    <t>Last Name: A (1 char = Min) | Others: valid</t>
  </si>
  <si>
    <t>Registration accepted | 1-character Last Name is valid</t>
  </si>
  <si>
    <t>The system allowed registration to be completed successfully when the Last Name field contained a single character. No validation error was displayed, and the user account was created successfully.</t>
  </si>
  <si>
    <t>OC_AUTH_TC_075</t>
  </si>
  <si>
    <t>Verify Registration Succeeds When Last Name Is 2 Characters (Min+1)</t>
  </si>
  <si>
    <t>1. Enter Last Name: Ab (2 chars, Min+1)
2. Fill other fields with valid data
3. Accept Privacy Policy
4. Click Continue</t>
  </si>
  <si>
    <t>Last Name: Ab (2 chars = Min+1) | Others: valid</t>
  </si>
  <si>
    <t>Registration accepted | 2-character Last Name is valid</t>
  </si>
  <si>
    <t>The system allowed registration to be completed successfully when the Last Name field contained two characters. No validation error was displayed, and the user account was created successfully.</t>
  </si>
  <si>
    <t>OC_AUTH_TC_076</t>
  </si>
  <si>
    <t>Verify Registration Succeeds When Last Name Is 31 Characters (Max-1)</t>
  </si>
  <si>
    <t>1. Enter Last Name with 31 characters (Max-1)
2. Fill other fields with valid data
3. Accept Privacy Policy
4. Click Continue</t>
  </si>
  <si>
    <t>Last Name: 31-char string (Max-1) | Others: valid</t>
  </si>
  <si>
    <t>Registration accepted | 31-character Last Name is valid</t>
  </si>
  <si>
    <t>The system allowed registration to be completed successfully when the Last Name field contained 31 characters (maximum allowed length minus one). No validation error was displayed, and the user account was created successfully.</t>
  </si>
  <si>
    <t>OC_AUTH_TC_077</t>
  </si>
  <si>
    <t>Verify Registration Succeeds When Last Name Is 32 Characters (Max)</t>
  </si>
  <si>
    <t>1. Enter Last Name with 32 characters (Max)
2. Fill other fields with valid data
3. Accept Privacy Policy
4. Click Continue</t>
  </si>
  <si>
    <t>Last Name: 32-char string (Max=32) | Others: valid</t>
  </si>
  <si>
    <t>Registration accepted | 32-character Last Name is valid (boundary)</t>
  </si>
  <si>
    <t>The system allowed registration to be completed successfully when the Last Name field contained 32 characters (maximum allowed length). No validation error was displayed, and the user account was created successfully.</t>
  </si>
  <si>
    <t>OC_AUTH_TC_078</t>
  </si>
  <si>
    <t>Verify Registration Succeeds When E-Mail Is 6 Characters (Min)</t>
  </si>
  <si>
    <t>1. Enter Email with exactly 6 chars: a@b.co
2. Fill other fields with valid data
3. Accept Privacy Policy
4. Click Continue</t>
  </si>
  <si>
    <t>Email: a@b.co (6 chars = Min) | Others: valid</t>
  </si>
  <si>
    <t>Registration accepted | 6-character email is valid</t>
  </si>
  <si>
    <t>The system allowed registration to be completed successfully when the email field contained a valid minimum-length email address (6 characters). No validation error was displayed, and the user account was created successfully.</t>
  </si>
  <si>
    <t>OC_AUTH_TC_079</t>
  </si>
  <si>
    <t>Verify Registration Succeeds When E-Mail Is 7 Characters (Min+1)</t>
  </si>
  <si>
    <t>1. Enter Email with 7 chars: ab@b.co
2. Fill other fields with valid data
3. Accept Privacy Policy
4. Click Continue</t>
  </si>
  <si>
    <t>Email: ab@b.co (7 chars = Min+1) | Others: valid</t>
  </si>
  <si>
    <t>Registration accepted | 7-character email is valid</t>
  </si>
  <si>
    <t>The system allowed registration to be completed successfully when the email field contained a valid 7-character email address. No validation error was displayed, and the user account was created successfully.</t>
  </si>
  <si>
    <t>OC_AUTH_TC_080</t>
  </si>
  <si>
    <t>Verify Registration Succeeds When E-Mail Is 95 Characters (Max-1)</t>
  </si>
  <si>
    <t>1. Enter Email with 95 characters (Max-1)
2. Fill other fields with valid data
3. Accept Privacy Policy
4. Click Continue</t>
  </si>
  <si>
    <t>Email: 95-char valid email string (Max-1) | Others: valid</t>
  </si>
  <si>
    <t>Registration accepted | 95-character email is valid</t>
  </si>
  <si>
    <t>The system allowed registration to be completed successfully when the email address contained 95 characters (maximum allowed length minus one). No validation error was displayed, and the user account was created successfully.</t>
  </si>
  <si>
    <t>OC_AUTH_TC_081</t>
  </si>
  <si>
    <t>Verify Registration Succeeds When E-Mail Is 96 Characters (Max)</t>
  </si>
  <si>
    <t>1. Enter Email with 96 characters (Max)
2. Fill other fields with valid data
3. Accept Privacy Policy
4. Click Continue</t>
  </si>
  <si>
    <t>Email: 96-char valid email string (Max=96) | Others: valid</t>
  </si>
  <si>
    <t>Registration accepted | 96-character email is valid (boundary)</t>
  </si>
  <si>
    <t>The system allowed registration to be completed successfully when the email address contained 96 characters (maximum allowed length). No validation error was displayed, and the user account was created successfully.</t>
  </si>
  <si>
    <t>OC_AUTH_TC_082</t>
  </si>
  <si>
    <t>Verify Registration Succeeds When Telephone Is 3 Digits (Min)</t>
  </si>
  <si>
    <t>1. Enter Telephone: 123 (3 digits, Min)
2. Fill other fields with valid data
3. Accept Privacy Policy
4. Click Continue</t>
  </si>
  <si>
    <t>Telephone: 123 (3 digits = Min) | Others: valid</t>
  </si>
  <si>
    <t>Registration accepted | 3-digit telephone is valid</t>
  </si>
  <si>
    <t>The system allowed registration to be completed successfully when the Telephone field contained 3 digits (minimum allowed length). No validation error was displayed, and the user account was created successfully.</t>
  </si>
  <si>
    <t>OC_AUTH_TC_083</t>
  </si>
  <si>
    <t>Verify Registration Succeeds When Telephone Is 4 Digits (Min+1)</t>
  </si>
  <si>
    <t>1. Enter Telephone: 1234 (4 digits, Min+1)
2. Fill other fields with valid data
3. Accept Privacy Policy
4. Click Continue</t>
  </si>
  <si>
    <t>Telephone: 1234 (4 digits = Min+1) | Others: valid</t>
  </si>
  <si>
    <t>Registration accepted | 4-digit telephone is valid</t>
  </si>
  <si>
    <t>The system allowed registration to be completed successfully when the Telephone field contained 4 digits (minimum allowed length plus one). No validation error was displayed, and the user account was created successfully.</t>
  </si>
  <si>
    <t>OC_AUTH_TC_084</t>
  </si>
  <si>
    <t>Verify Registration Succeeds When Telephone Is 31 Digits (Max-1)</t>
  </si>
  <si>
    <t>1. Enter Telephone with 31 digits (Max-1)
2. Fill other fields with valid data
3. Accept Privacy Policy
4. Click Continue</t>
  </si>
  <si>
    <t>Telephone: 31-digit number (Max-1) | Others: valid</t>
  </si>
  <si>
    <t>Registration accepted | 31-digit telephone is valid</t>
  </si>
  <si>
    <t>The system allowed registration to be completed successfully when the Telephone field contained 31 digits (maximum allowed length minus one). No validation error was displayed, and the user account was created successfully.</t>
  </si>
  <si>
    <t>OC_AUTH_TC_085</t>
  </si>
  <si>
    <t>Verify Registration Succeeds When Telephone Is 32 Digits (Max)</t>
  </si>
  <si>
    <t>1. Enter Telephone with 32 digits (Max)
2. Fill other fields with valid data
3. Accept Privacy Policy
4. Click Continue</t>
  </si>
  <si>
    <t>Telephone: 32-digit number (Max=32) | Others: valid</t>
  </si>
  <si>
    <t>Registration accepted | 32-digit telephone is valid (boundary)</t>
  </si>
  <si>
    <t>The system allowed registration to be completed successfully when the Telephone field contained 32 digits (maximum allowed length). No validation error was displayed, and the user account was created successfully.</t>
  </si>
  <si>
    <t>OC_AUTH_TC_086</t>
  </si>
  <si>
    <t>Verify Registration Succeeds When Password Is 4 Characters (Min)</t>
  </si>
  <si>
    <t>1. Enter Password: Test (4 chars, Min)
2. Enter Confirm Password: Test
3. Fill other fields with valid data
4. Accept Privacy Policy
5. Click Continue</t>
  </si>
  <si>
    <t>Password: Test (4 chars = Min) | Confirm: Test</t>
  </si>
  <si>
    <t>Registration accepted | 4-character password is valid</t>
  </si>
  <si>
    <t>The system allowed registration to be completed successfully when the Password field contained 4 characters (minimum allowed length). No validation error was displayed, and the user account was created successfully.</t>
  </si>
  <si>
    <t>OC_AUTH_TC_087</t>
  </si>
  <si>
    <t>Verify Registration Succeeds When Password Is 5 Characters (Min+1)</t>
  </si>
  <si>
    <t>1. Enter Password: Test1 (5 chars, Min+1)
2. Enter Confirm Password: Test1
3. Fill other fields with valid data
4. Accept Privacy Policy
5. Click Continue</t>
  </si>
  <si>
    <t>Password: Test1 (5 chars = Min+1) | Confirm: Test1</t>
  </si>
  <si>
    <t>Registration accepted | 5-character password is valid</t>
  </si>
  <si>
    <t>The system allowed registration to be completed successfully when the Password field contained 5 characters (minimum allowed length plus one). No validation error was displayed, and the user account was created successfully.</t>
  </si>
  <si>
    <t>OC_AUTH_TC_088</t>
  </si>
  <si>
    <t>Verify Registration Succeeds When Password Is 19 Characters (Max-1)</t>
  </si>
  <si>
    <t>1. Enter Password with 19 chars (Max-1)
2. Enter matching Confirm Password
3. Fill other fields with valid data
4. Accept Privacy Policy
5. Click Continue</t>
  </si>
  <si>
    <t>Password: 19-char string (Max-1) | Confirm: same</t>
  </si>
  <si>
    <t>Registration accepted | 19-character password is valid</t>
  </si>
  <si>
    <t>The system allowed registration to be completed successfully when the Password field contained 19 characters (maximum allowed length minus one). No validation error was displayed, and the user account was created successfully.</t>
  </si>
  <si>
    <t>OC_AUTH_TC_089</t>
  </si>
  <si>
    <t>Verify Registration Succeeds When Password Is 20 Characters (Max)</t>
  </si>
  <si>
    <t>1. Enter Password with 20 chars (Max)
2. Enter matching Confirm Password
3. Fill other fields with valid data
4. Accept Privacy Policy
5. Click Continue</t>
  </si>
  <si>
    <t>Password: 20-char string (Max=20) | Confirm: same</t>
  </si>
  <si>
    <t>Registration accepted | 20-character password is valid (boundary)</t>
  </si>
  <si>
    <t>The system allowed registration to be completed successfully when the Password field contained 20 characters (maximum allowed length). No validation error was displayed, and the user account was created successfully.</t>
  </si>
  <si>
    <t>OC_AUTH_TC_090</t>
  </si>
  <si>
    <t>Verify Registration Responds Within 3 Seconds Under Normal Load</t>
  </si>
  <si>
    <t>Registration – Performance</t>
  </si>
  <si>
    <t>Performance</t>
  </si>
  <si>
    <t>Valid data prepared | Registration page loaded | Normal network load</t>
  </si>
  <si>
    <t>1. Fill all mandatory fields with valid data
2. Accept Privacy Policy
3. Start timer
4. Click Continue
5. Stop timer when confirmation/redirect appears</t>
  </si>
  <si>
    <t>First Name: John | Last Name: Doe | Email: perf@test.com | Tel: 0501234567 | Password: Test@1234</t>
  </si>
  <si>
    <t>Registration completes successfully | Total response time from click to confirmation ≤ 3 seconds</t>
  </si>
  <si>
    <t>The registration submission completed successfully in 2.07 seconds under normal load conditions. The total response time from clicking the submit button to receiving the confirmation response was within the expected performance threshold.</t>
  </si>
  <si>
    <t>OC_AUTH_TC_091</t>
  </si>
  <si>
    <t>Verify User Can Select Newsletter Subscription Preference During Registration</t>
  </si>
  <si>
    <t>Registration – Newsletter</t>
  </si>
  <si>
    <t>1. Observe Newsletter section on page load
2. Note default selected option (should be No)
3. Select Yes
4. Complete all mandatory fields with valid data
5. Accept Privacy Policy
6. Click Continue</t>
  </si>
  <si>
    <t>Newsletter: Yes selected | All mandatory fields: valid</t>
  </si>
  <si>
    <t>Registration accepted | Newsletter preference set to Yes | Both Yes and No options visible</t>
  </si>
  <si>
    <t>The system allowed registration to be completed successfully with the newsletter subscription option selected. The user was able to choose between both "Yes" and "No" options during registration, and the selected preference was saved correctly in the system.</t>
  </si>
  <si>
    <t>OC_AUTH_TC_092</t>
  </si>
  <si>
    <t>Verify Only One Newsletter Option Can Be Selected At A Time</t>
  </si>
  <si>
    <t>1. Observe Newsletter section — Note: No should be default
2. Click Yes
3. Verify No is deselected
4. Click No
5. Verify Yes is deselected</t>
  </si>
  <si>
    <t>Newsletter toggle interactions: Yes then No</t>
  </si>
  <si>
    <t>Only one option selected at a time | Selecting Yes deselects No and vice versa</t>
  </si>
  <si>
    <t>The system allows only one newsletter subscription option to be selected at a time. Selecting "Yes" automatically deselects "No" and vice versa, ensuring mutual exclusivity between the options.</t>
  </si>
  <si>
    <t>OC_AUTH_TC_093</t>
  </si>
  <si>
    <t>Verify Newsletter Subscription Defaults To No On Page Load</t>
  </si>
  <si>
    <t>Registration page loaded (fresh load, no user action on newsletter)</t>
  </si>
  <si>
    <t>1. Navigate to Registration page
2. Observe Newsletter section without making any selection</t>
  </si>
  <si>
    <t>Newsletter: no user selection made (observe default)</t>
  </si>
  <si>
    <t>"No" option is selected by default | "Yes" is not pre-selected</t>
  </si>
  <si>
    <t>The system displays the newsletter subscription option with “No” selected by default when the registration page is loaded. The “Yes” option is not pre-selected.</t>
  </si>
  <si>
    <t>OC_AUTH_TC_094</t>
  </si>
  <si>
    <t>Verify Newsletter Preference Is Saved Correctly After Registration</t>
  </si>
  <si>
    <t>Registration page loaded | User has not previously registered</t>
  </si>
  <si>
    <t>1. Select Newsletter: Yes
2. Complete all mandatory fields with valid data
3. Accept Privacy Policy
4. Click Continue
5. Navigate to account newsletter settings
6. Verify stored preference</t>
  </si>
  <si>
    <t>Registration successful | Newsletter preference stored as "Yes" matches selection</t>
  </si>
  <si>
    <t>The system successfully saved the selected newsletter preference after registration. The chosen value (“Yes” or “No”) was correctly stored and reflected in the user profile after account creation.</t>
  </si>
  <si>
    <t>OC_AUTH_TC_095</t>
  </si>
  <si>
    <t>Verify Forgotten Password Link Is Visible And Redirects To Forgotten Password Page</t>
  </si>
  <si>
    <t>1. Observe the Login page
2. Locate the Forgotten Password link
3. Click the link</t>
  </si>
  <si>
    <t>No credentials needed</t>
  </si>
  <si>
    <t>Forgotten Password link is visible | Clicking it redirects to the Forgotten Password page</t>
  </si>
  <si>
    <t>Forgotten Password link visible | Redirected successfully to Forgotten Password page | Page loaded correctly</t>
  </si>
  <si>
    <t>OC_AUTH_TC_096</t>
  </si>
  <si>
    <t>Verify Password Reset Fails When Email Is Not Registered</t>
  </si>
  <si>
    <t>Forgotten Password page loaded</t>
  </si>
  <si>
    <t>1. Enter Email: unknown@domain.com (not registered)
2. Click Continue</t>
  </si>
  <si>
    <t>Email: unknown@domain.com (not registered)</t>
  </si>
  <si>
    <t>System displays: "The E-Mail Address was not found in our records, please try again!" | No reset link sent</t>
  </si>
  <si>
    <t>System displayed error message: "The E-Mail Address was not found in our records, please try again!" | No reset link was sent | Password reset request was rejected successfully</t>
  </si>
  <si>
    <t>OC_AUTH_TC_097</t>
  </si>
  <si>
    <t>Verify Login Succeeds With New Password After Reset</t>
  </si>
  <si>
    <t>User has successfully reset password to: NewPass123!</t>
  </si>
  <si>
    <t>1. Navigate to Login page
2. Enter Email: test@domain.com
3. Enter new Password: NewPass123!
4. Click Login</t>
  </si>
  <si>
    <t>Email: test@domain.com | New Password: NewPass123!</t>
  </si>
  <si>
    <t>Authentication successful | Redirected to My Account</t>
  </si>
  <si>
    <t>OC_AUTH_TC_098</t>
  </si>
  <si>
    <t>Verify Login Fails With Old Password After Reset</t>
  </si>
  <si>
    <t>User has successfully reset password to: NewPass123! | Old password was: Test123!</t>
  </si>
  <si>
    <t>1. Navigate to Login page
2. Enter Email: test@domain.com
3. Enter old Password: Test123!
4. Click Login</t>
  </si>
  <si>
    <t>Email: test@domain.com | Old Password: Test123!</t>
  </si>
  <si>
    <t>OC_AUTH_TC_099</t>
  </si>
  <si>
    <t>Verify Password Reset Email Can Be Resent Successfully</t>
  </si>
  <si>
    <t>1. Enter valid registered email
2. Click Continue
3. Return to Forgotten Password page
4. Enter the same email again
5. Click Continue</t>
  </si>
  <si>
    <t>New reset email sent successfully | User can request reset email more than once</t>
  </si>
  <si>
    <t xml:space="preserve">Password reset email was not sent | System did not deliver any reset email </t>
  </si>
  <si>
    <t>OC_AUTH_BUG_021</t>
  </si>
  <si>
    <t>د</t>
  </si>
  <si>
    <t>OC_AUTH_TC_100</t>
  </si>
  <si>
    <t>Verify Login Responds Within 3 Seconds Under Normal Load</t>
  </si>
  <si>
    <t>Login – Performance</t>
  </si>
  <si>
    <t>Valid credentials prepared | Login page loaded | Normal network load</t>
  </si>
  <si>
    <t>1. Enter valid Email and Password
2. Start timer
3. Click Login
4. Stop timer when My Account page appears</t>
  </si>
  <si>
    <t>Login completes successfully | Total response time ≤ 3 seconds</t>
  </si>
  <si>
    <t>Login completed successfully | Total response time = 1.4s | Response time ≤ 3 seconds threshold met</t>
  </si>
  <si>
    <t>OC_AUTH_TC_101</t>
  </si>
  <si>
    <t>Verify Login Displays Connection Error When Network Is Unavailable</t>
  </si>
  <si>
    <t>Login – Network</t>
  </si>
  <si>
    <t>Valid credentials prepared | Network connection disabled</t>
  </si>
  <si>
    <t>1. Disable network connection
2. Enter valid credentials
3. Click Login</t>
  </si>
  <si>
    <t>Network: unavailable | Email: test@domain.com | Password: Test123!</t>
  </si>
  <si>
    <t>Appropriate connection error message displayed | Prompt to check internet and retry</t>
  </si>
  <si>
    <t>OC_AUTH_TC_102</t>
  </si>
  <si>
    <t>Verify Login Shows Loading Indicator And Completes On Slow Network (3G)</t>
  </si>
  <si>
    <t>Valid credentials prepared | Network throttled to 3G speed via browser dev tools</t>
  </si>
  <si>
    <t>1. Throttle network to 3G in browser dev tools
2. Enter valid credentials
3. Click Login
4. Observe loading indicator</t>
  </si>
  <si>
    <t>Network: 3G | Email: test@domain.com | Password: Test123!</t>
  </si>
  <si>
    <t>Loading indicator displayed during request | Login completes successfully after delay</t>
  </si>
  <si>
    <t>OC_AUTH_TC_103</t>
  </si>
  <si>
    <t>Verify Logout Terminates Session And Redirects To Confirmation Page</t>
  </si>
  <si>
    <t>User is logged in</t>
  </si>
  <si>
    <t>1. Navigate to My Account
2. Click Logout</t>
  </si>
  <si>
    <t>User: logged in</t>
  </si>
  <si>
    <t>Session terminated | Redirected to logout confirmation page | Clear success message displayed</t>
  </si>
  <si>
    <t>OC_AUTH_TC_104</t>
  </si>
  <si>
    <t>Verify Clicking Continue After Logout Redirects To Home Page</t>
  </si>
  <si>
    <t>Login – Navigation</t>
  </si>
  <si>
    <t>User has just logged out and is on the logout confirmation page</t>
  </si>
  <si>
    <t>1. Click Continue on the logout confirmation page</t>
  </si>
  <si>
    <t>User: on logout confirmation page</t>
  </si>
  <si>
    <t>Redirected to the platform home page</t>
  </si>
  <si>
    <t>OC_AUTH_TC_105</t>
  </si>
  <si>
    <t>Verify Logout From One Tab Terminates Session In All Other Tabs</t>
  </si>
  <si>
    <t>User is logged in across multiple tabs in the same browser</t>
  </si>
  <si>
    <t>1. Open My Account in two or more tabs
2. Log out from one tab
3. Switch to another tab and observe session state</t>
  </si>
  <si>
    <t>Multiple browser tabs: all logged in</t>
  </si>
  <si>
    <t>Session terminated in all open tabs | Other tabs redirect to login page</t>
  </si>
  <si>
    <t>OC_AUTH_TC_106</t>
  </si>
  <si>
    <t>Verify Logout From One Browser Terminates Session In All Other Browsers</t>
  </si>
  <si>
    <t>User is logged in on multiple browsers simultaneously (e.g., Chrome and Edge)</t>
  </si>
  <si>
    <t>1. Log in on Chrome and Edge simultaneously
2. Log out from Chrome
3. Observe session state in Edge</t>
  </si>
  <si>
    <t>Chrome: logged in | Edge: logged in</t>
  </si>
  <si>
    <t>Session terminated in both browsers | Edge redirects to login page after logout in Chrome</t>
  </si>
  <si>
    <t>OC_AUTH_TC_107</t>
  </si>
  <si>
    <t>Verify Registration Succeeds Across All Supported Browsers</t>
  </si>
  <si>
    <t>Registration – Browser Compat</t>
  </si>
  <si>
    <t>Compatibility</t>
  </si>
  <si>
    <t>Supported browsers installed: Chrome 120+, Edge 120+</t>
  </si>
  <si>
    <t>1. Open registration URL in Chrome
2. Fill all fields with valid data and submit
3 Repeat in Edge
4. Compare UI rendering and form behavior across all browsers</t>
  </si>
  <si>
    <t>Browser: Chrome / Edge | Valid registration data</t>
  </si>
  <si>
    <t>All UI elements render correctly | Form validation behaves consistently | Registration succeeds in all browsers</t>
  </si>
  <si>
    <t>Registration functionality was tested across supported browsers. The registration form rendered correctly in all tested browsers, and all UI elements were displayed as expected. Form validation behavior was consistent across browsers, and user registration was completed successfully without functional discrepancies.</t>
  </si>
  <si>
    <t>OC_AUTH_TC_108</t>
  </si>
  <si>
    <t>Verify Validation Error Messages Appear Next To Their Fields</t>
  </si>
  <si>
    <t>Registration – UI</t>
  </si>
  <si>
    <t>UI</t>
  </si>
  <si>
    <t>1. Submit form with invalid data in multiple fields
2. Observe error message positioning
3. Verify each error appears near its respective field
4. Verify error text contrast and readability</t>
  </si>
  <si>
    <t>Various invalid inputs submitted simultaneously</t>
  </si>
  <si>
    <t>Clear and specific error message near each invalid field | No internal logic exposed | Sufficient color contrast</t>
  </si>
  <si>
    <t>Validation error messages are displayed adjacent to their corresponding input fields when invalid data is entered. The messages are clear, specific, and directly related to the affected fields. No internal system logic or technical details are exposed to the user.</t>
  </si>
  <si>
    <t>Low</t>
  </si>
  <si>
    <t>OC_AUTH_TC_109</t>
  </si>
  <si>
    <t>Verify Password Visibility Toggle Works On All Supported Browsers</t>
  </si>
  <si>
    <t>Registration page loaded in Chrome and Edge</t>
  </si>
  <si>
    <t>1. Open registration page in Chrome
2. Locate password visibility toggle next to Password field
3. Click toggle — password should become visible
4. Click again — password should be masked
5. Repeat in Edge
6. Verify toggle is custom (not browser-native)</t>
  </si>
  <si>
    <t>Browser: Chrome | Edge | Custom toggle expected</t>
  </si>
  <si>
    <t xml:space="preserve">Custom visibility toggle visible next to Password field | Toggle works correctly in Chrome and Edge </t>
  </si>
  <si>
    <t>The password visibility toggle is not displayed in Google Chrome. The toggle control is missing next to the Password field, preventing users from enabling or disabling password visibility in this browser. No functional interaction is available for this feature in Chrome.</t>
  </si>
  <si>
    <t>OC_AUTH_BUG_022</t>
  </si>
  <si>
    <t>OC_AUTH_TC_110</t>
  </si>
  <si>
    <t>Verify Tab Key Navigates Registration Fields In Sequential Order</t>
  </si>
  <si>
    <t>Registration – Usability</t>
  </si>
  <si>
    <t>Accessibility</t>
  </si>
  <si>
    <t>Registration page loaded | Keyboard-only navigation</t>
  </si>
  <si>
    <t>1. Place focus on first field (First Name)
2. Press Tab repeatedly
3. Observe focus order through all fields
4. Verify logical sequential order
5. Press Shift+Tab to move backward</t>
  </si>
  <si>
    <t>Keyboard navigation: Tab | Shift+Tab</t>
  </si>
  <si>
    <t>Tab moves focus forward logically | Shift+Tab moves backward | No keyboard trap</t>
  </si>
  <si>
    <t>The Tab key successfully navigates through the registration form fields in a logical sequential order. Shift + Tab correctly moves focus backward through the fields. No keyboard traps were observed, and users can navigate the form using only the keyboard without interruption.</t>
  </si>
  <si>
    <t>OC_AUTH_TC_111</t>
  </si>
  <si>
    <t>Verify Enter Key Triggers Registration Form Submission</t>
  </si>
  <si>
    <t>Usability</t>
  </si>
  <si>
    <t>Registration page loaded | All fields filled with valid data</t>
  </si>
  <si>
    <t>1. Fill all mandatory fields with valid data
2. Navigate to Continue button using Tab
3. Press Enter key
4. Observe form submission behavior</t>
  </si>
  <si>
    <t>Keyboard: Enter on Continue button | All fields: valid</t>
  </si>
  <si>
    <t>Form submitted when Enter pressed on Continue button | Behavior same as mouse click</t>
  </si>
  <si>
    <t>The registration form is successfully submitted when the Enter key is pressed while focusing on the form (e.g., input fields or Continue button). The behavior is identical to clicking the Continue button using a mouse, and the registration process is completed successfully.</t>
  </si>
  <si>
    <t>OC_AUTH_TC_112</t>
  </si>
  <si>
    <t>Verify Focus Indicator Is Visible On All Fields During Keyboard Navigation</t>
  </si>
  <si>
    <t>Registration – Accessibility</t>
  </si>
  <si>
    <t>1. Navigate through all form fields using Tab
2. Observe focus indicator visibility on each field
3. Verify indicator is clearly visible on all interactive elements</t>
  </si>
  <si>
    <t>Keyboard navigation: Tab through all fields</t>
  </si>
  <si>
    <t>Visible focus indicator on all interactive elements | No keyboard trap occurs</t>
  </si>
  <si>
    <t>A visible focus indicator is displayed on interactive elements during keyboard navigation. Users can clearly identify the currently focused field or control while using the Tab key. No keyboard traps were observed, and navigation proceeds smoothly across all interactive components.</t>
  </si>
  <si>
    <t>OC_AUTH_TC_113</t>
  </si>
  <si>
    <t>Verify Registration Page Renders Correctly On Mobile (320px-480px)</t>
  </si>
  <si>
    <t>Registration – Responsive</t>
  </si>
  <si>
    <t>Registration page loaded | Screen width set to 320px–480px (mobile viewport)</t>
  </si>
  <si>
    <t>1. Open registration page in mobile viewport (320px)
2. Check all fields are visible without horizontal scrolling
3. Verify single-column layout
4. Verify all buttons are tappable
5. Verify font size readable without zoom
6. Check no UI elements overlap</t>
  </si>
  <si>
    <t>Screen width: 320px and 480px | Mobile device or browser dev tools</t>
  </si>
  <si>
    <t>All fields visible without horizontal scroll | Single-column layout | Buttons tappable | Readable font | No overlapping elements | Error messages wrap correctly</t>
  </si>
  <si>
    <t>The registration page renders correctly on mobile devices within the 320px–480px viewport range. All input fields are fully visible without horizontal scrolling, and the layout is displayed in a single-column format. Buttons are easily tappable, text remains readable, and no UI overlapping issues are observed. Validation error messages wrap properly within the screen width.</t>
  </si>
  <si>
    <t>OC_AUTH_TC_114</t>
  </si>
  <si>
    <t>Verify Registration Page Renders Correctly On Tablet (768px-1024px)</t>
  </si>
  <si>
    <t>Registration page loaded | Screen width set to 768px–1024px (tablet viewport)</t>
  </si>
  <si>
    <t>1. Open registration page on tablet (768px portrait)
2. Check layout adapts proportionally
3. Verify spacing consistency
4. Rotate to landscape (1024px)
5. Verify layout does not break
6. Verify touch targets remain accessible</t>
  </si>
  <si>
    <t>Screen width: 768px (portrait) and 1024px (landscape) | Tablet device or browser dev tools</t>
  </si>
  <si>
    <t>Layout adapts proportionally | Consistent spacing | Form elements not disproportionate | Touch targets accessible | Orientation change does not break layout</t>
  </si>
  <si>
    <t>The registration page renders correctly on tablet devices within the 768px–1024px viewport range. The layout adapts proportionally with consistent spacing between elements. Form fields maintain proper alignment and sizing without distortion. Touch targets are accessible and usable, and changing device orientation does not break or misalign the layout.</t>
  </si>
  <si>
    <t>OC_AUTH_TC_115</t>
  </si>
  <si>
    <t>Verify Validation Error Messages Appear Next To Their Respective Fields</t>
  </si>
  <si>
    <t>Login – Usability</t>
  </si>
  <si>
    <t>1. Submit login form with invalid/empty data
2. Observe error message positions and readability</t>
  </si>
  <si>
    <t>Clear and specific error message appears near each invalid field | No system logic exposed | Sufficient color contrast</t>
  </si>
  <si>
    <t>OC_AUTH_TC_116</t>
  </si>
  <si>
    <t>Login – UI</t>
  </si>
  <si>
    <t>Login page loaded in Chrome and Edge</t>
  </si>
  <si>
    <t>1. Open login page in Chrome
2. Locate custom password visibility toggle next to Password field
3. Click toggle — password should become visible
4. Click again — password should be masked
5. Repeat in Edge</t>
  </si>
  <si>
    <t>Custom visibility toggle visible | Toggle correctly shows and hides password in Chrome and Edge</t>
  </si>
  <si>
    <t>Password visibility toggle is not available in Chrome browser | Feature is missing and password cannot be shown/hidden | Inconsistent behavior between supported browsers (Edge works, Chrome does not)</t>
  </si>
  <si>
    <t>OC_AUTH_BUG_023</t>
  </si>
  <si>
    <t>OC_AUTH_TC_117</t>
  </si>
  <si>
    <t>Verify Tab Key Navigates Login Fields In Sequential Order</t>
  </si>
  <si>
    <t>Login page loaded | Keyboard-only navigation</t>
  </si>
  <si>
    <t>1. Place focus on Email field
2. Press Tab repeatedly
3. Observe focus order through all fields
4. Press Shift+Tab to move backward</t>
  </si>
  <si>
    <t>Keyboard: Tab | Shift+Tab</t>
  </si>
  <si>
    <t>Tab moves focus forward in logical order | Shift+Tab moves backward | No keyboard trap</t>
  </si>
  <si>
    <t>OC_AUTH_TC_118</t>
  </si>
  <si>
    <t>Verify Shift+Tab Key Navigates Login Fields In Reverse Order</t>
  </si>
  <si>
    <t>Login page loaded | Keyboard-only navigation | Focus currently on Login button</t>
  </si>
  <si>
    <t>1. Place focus on Login button
2. Press Shift+Tab repeatedly
3. Observe focus moves backward through fields</t>
  </si>
  <si>
    <t>Keyboard: Shift+Tab</t>
  </si>
  <si>
    <t>Focus moves backward through fields in reverse sequential order | No keyboard trap</t>
  </si>
  <si>
    <t>OC_AUTH_TC_119</t>
  </si>
  <si>
    <t>Verify Enter Key Triggers Login Form Submission</t>
  </si>
  <si>
    <t>Login page loaded | All fields filled with valid data</t>
  </si>
  <si>
    <t>1. Fill Email and Password with valid data
2. Navigate to Login button using Tab
3. Press Enter
4. Observe form submission behavior</t>
  </si>
  <si>
    <t>Keyboard: Enter on Login button | Credentials: valid</t>
  </si>
  <si>
    <t>Form submitted when Enter pressed | Behavior identical to mouse click on Login button</t>
  </si>
  <si>
    <t>OC_AUTH_TC_120</t>
  </si>
  <si>
    <t>Verify Login Page Renders Correctly On Mobile (320px–480px)</t>
  </si>
  <si>
    <t>Login – Responsive</t>
  </si>
  <si>
    <t>Login page loaded | Screen width set to 320px–480px (mobile viewport)</t>
  </si>
  <si>
    <t>1. Open login page in mobile viewport (320px)
2. Check all fields visible without horizontal scrolling
3. Verify single-column layout
4. Verify buttons tappable
5. Verify font readable without zoom</t>
  </si>
  <si>
    <t>All fields visible without horizontal scroll | Single-column layout | Buttons tappable | Readable font | No overlapping elements</t>
  </si>
  <si>
    <t>OC_AUTH_TC_121</t>
  </si>
  <si>
    <t>Verify Login Page Renders Correctly On Tablet (768px–1024px) In Portrait And Landscape</t>
  </si>
  <si>
    <t>Login page loaded | Screen width set to 768px–1024px (tablet viewport)</t>
  </si>
  <si>
    <t>1. Open login page on tablet (768px portrait)
2. Check layout adapts proportionally
3. Rotate to landscape (1024px)
4. Verify layout does not break</t>
  </si>
  <si>
    <t>Layout adapts proportionally | Consistent spacing | Touch targets accessible | Orientation change does not break layout</t>
  </si>
  <si>
    <t>OC_AUTH_TC_122</t>
  </si>
  <si>
    <t>Verify Login Page Renders And Functions Correctly On Chrome And Edge</t>
  </si>
  <si>
    <t>Login – Compatibility</t>
  </si>
  <si>
    <t>1. Open login URL in Chrome
2. Fill all fields with valid data and submit
3. Repeat in Edge
4. Compare UI rendering and form behavior</t>
  </si>
  <si>
    <t>Browser: Chrome | Edge | Valid login credentials</t>
  </si>
  <si>
    <t>All UI elements render correctly | Form validation consistent | Login succeeds in all browsers</t>
  </si>
  <si>
    <t>OC_SEAR_TC_123</t>
  </si>
  <si>
    <t>Search with valid product keyword</t>
  </si>
  <si>
    <t>Search – Functional</t>
  </si>
  <si>
    <t>Site accessible. Products exist in DB.</t>
  </si>
  <si>
    <t>1. Go to /index.php?route=product/search  2. Enter 'MacBook' in Keywords  3. Click Search</t>
  </si>
  <si>
    <t>Keyword: MacBook</t>
  </si>
  <si>
    <t>Products matching 'MacBook' displayed under results section.</t>
  </si>
  <si>
    <t>Mohamed Ashraf</t>
  </si>
  <si>
    <t>OC_SEAR_TC_124</t>
  </si>
  <si>
    <t>Search with empty keyword field</t>
  </si>
  <si>
    <t>Site accessible.</t>
  </si>
  <si>
    <t>1. Navigate to search page  2. Leave Keywords empty  3. Click Search</t>
  </si>
  <si>
    <t>Keyword: (empty)</t>
  </si>
  <si>
    <t>All products shown OR validation message prompts user. No crash.</t>
  </si>
  <si>
    <t>No results appear, and message displayed says "There is no product that matches the search criteria."</t>
  </si>
  <si>
    <t>OC_SEAR_TC_125</t>
  </si>
  <si>
    <t>Search with category filter</t>
  </si>
  <si>
    <t>Products exist in multiple categories.</t>
  </si>
  <si>
    <t>1. Enter 'Apple'  2. Select 'Desktops' from dropdown  3. Click Search</t>
  </si>
  <si>
    <t>Keyword: Apple | Category: Desktops</t>
  </si>
  <si>
    <t>Only Apple products in Desktops category returned.</t>
  </si>
  <si>
    <t>OC_SEAR_TC_126</t>
  </si>
  <si>
    <t>Search returns no results</t>
  </si>
  <si>
    <t>No product matches keyword.</t>
  </si>
  <si>
    <t>1. Enter 'zzznoproduct999'  2. Click Search</t>
  </si>
  <si>
    <t>Keyword: zzznoproduct999</t>
  </si>
  <si>
    <t>Message: 'There is no product that matches the search criteria.' displayed.</t>
  </si>
  <si>
    <t>OC_SEAR_TC_127</t>
  </si>
  <si>
    <t>Search result links navigate correctly</t>
  </si>
  <si>
    <t>Search returns at least one result.</t>
  </si>
  <si>
    <t>1. Enter 'iPhone' and click Search  2. Click on a product from results</t>
  </si>
  <si>
    <t>Keyword: iPhone</t>
  </si>
  <si>
    <t>User redirected to correct product detail page.</t>
  </si>
  <si>
    <t>OC_SEAR_TC_128</t>
  </si>
  <si>
    <t>Search using top nav search bar</t>
  </si>
  <si>
    <t>1. Enter 'iPhone' in top header search bar  2. Click magnifying glass icon</t>
  </si>
  <si>
    <t>Redirected to search results page showing iPhone products.</t>
  </si>
  <si>
    <t>OC_SEAR_TC_129</t>
  </si>
  <si>
    <t>Search with subcategories checkbox enabled</t>
  </si>
  <si>
    <t>Products exist in subcategories.</t>
  </si>
  <si>
    <t>1. Enter 'iPhone'  2. Select 'Phones &amp; PDAs'  3. Check 'Search in subcategories'  4. Click Search</t>
  </si>
  <si>
    <t>Keyword: iPhone | Category: Phones &amp; PDAs | Subcategory: checked</t>
  </si>
  <si>
    <t>Results include all subcategory products under Phones &amp; PDAs.</t>
  </si>
  <si>
    <t>OC_SEAR_TC_130</t>
  </si>
  <si>
    <t>Search in product descriptions</t>
  </si>
  <si>
    <t>Product exists where keyword is only in description.</t>
  </si>
  <si>
    <t>1. Enter 'display'  2. Check 'Search in product descriptions'  3. Click Search</t>
  </si>
  <si>
    <t>Keyword: display | Description checkbox: checked</t>
  </si>
  <si>
    <t>Products whose descriptions contain 'display' are returned.</t>
  </si>
  <si>
    <t>OC_SEAR_TC_131</t>
  </si>
  <si>
    <t>Search via Enter key</t>
  </si>
  <si>
    <t>1. Enter 'iPhone'  2. Press Enter key (no button click)</t>
  </si>
  <si>
    <t>Search triggered and results displayed, same as clicking Search button.</t>
  </si>
  <si>
    <t>OC_SEAR_TC_132</t>
  </si>
  <si>
    <t>Search with partial keyword</t>
  </si>
  <si>
    <t>Products with names starting with 'Mac' exist.</t>
  </si>
  <si>
    <t>1. Enter 'Mac'  2. Click Search</t>
  </si>
  <si>
    <t>Keyword: Mac</t>
  </si>
  <si>
    <t>Products containing 'Mac' (e.g., MacBook) returned.</t>
  </si>
  <si>
    <t>OC_SEAR_TC_133</t>
  </si>
  <si>
    <t>Search with All Categories default</t>
  </si>
  <si>
    <t>Products in multiple categories exist.</t>
  </si>
  <si>
    <t>1. Enter 'Sony'  2. Keep 'All Categories' selected  3. Click Search</t>
  </si>
  <si>
    <t>Keyword: Sony | Category: All Categories</t>
  </si>
  <si>
    <t>Sony products from all categories returned.</t>
  </si>
  <si>
    <t>OC_SEAR_TC_134</t>
  </si>
  <si>
    <t>Category dropdown contains all expected options</t>
  </si>
  <si>
    <t>1. Click the 'All Categories' dropdown  2. Review all listed options</t>
  </si>
  <si>
    <t>N/A</t>
  </si>
  <si>
    <t>Dropdown includes: All Categories, Desktops, Laptops &amp; Notebooks, Components, Tablets, Software, Phones &amp; PDAs, Cameras, MP3 Players.</t>
  </si>
  <si>
    <t>OC_SEAR_TC_135</t>
  </si>
  <si>
    <t>Search page layout matches design spec</t>
  </si>
  <si>
    <t>Search – UI / Visual</t>
  </si>
  <si>
    <t>UI / Visual</t>
  </si>
  <si>
    <t>1. Navigate to search page  2. Visually inspect against screenshot reference</t>
  </si>
  <si>
    <t>Page shows: breadcrumb, Search Criteria section, keyword input, category dropdown, two checkboxes, Search button — all aligned correctly.</t>
  </si>
  <si>
    <t>OC_SEAR_TC_136</t>
  </si>
  <si>
    <t>Shopping cart count updates in header</t>
  </si>
  <si>
    <t>1. Note cart count in header  2. Add an item to cart  3. Return to search page</t>
  </si>
  <si>
    <t>Cart count and total update dynamically in header.</t>
  </si>
  <si>
    <t>No cart count is displayed the website doesn't show the number of cart items beside the cart icon</t>
  </si>
  <si>
    <t>OC_SEAR_BUG_001</t>
  </si>
  <si>
    <t>OC_SEAR_TC_137</t>
  </si>
  <si>
    <t>Autocomplete behavior in keyword field</t>
  </si>
  <si>
    <t>Search – Usability</t>
  </si>
  <si>
    <t>1. Start typing 'iPh'  2. Pause 1-2 seconds  3. Observe if suggestions appear</t>
  </si>
  <si>
    <t>Keyword: iPh (partial)</t>
  </si>
  <si>
    <t>Autocomplete suggestions appear.</t>
  </si>
  <si>
    <t>No Autocomplete suggestions appear.</t>
  </si>
  <si>
    <t>OC_SEAR_BUG_002</t>
  </si>
  <si>
    <t>OC_SEAR_TC_138</t>
  </si>
  <si>
    <t>BVA - Minimum input: 1 character</t>
  </si>
  <si>
    <t>Search – BVA</t>
  </si>
  <si>
    <t>BVA</t>
  </si>
  <si>
    <t>1. Enter single character 'a'  2. Click Search</t>
  </si>
  <si>
    <t>Keyword: a</t>
  </si>
  <si>
    <t>Search executes. Items containing letter 'a' are displayed in the results</t>
  </si>
  <si>
    <t>OC_SEAR_TC_139</t>
  </si>
  <si>
    <t>BVA - Maximum input: 255 characters</t>
  </si>
  <si>
    <t>1. Paste 255-character string into Keywords  2. Click Search</t>
  </si>
  <si>
    <t>Keyword: 255-char string (a×255)</t>
  </si>
  <si>
    <t>Input accepted and processed without truncation or error.</t>
  </si>
  <si>
    <t>OC_SEAR_TC_140</t>
  </si>
  <si>
    <t>BVA - Exceeding max: 256+ characters</t>
  </si>
  <si>
    <t>1. Paste 500-character string  2. Click Search</t>
  </si>
  <si>
    <t>Keyword: 500-char string</t>
  </si>
  <si>
    <t>Input truncated to max length OR validation error shown. No server error.</t>
  </si>
  <si>
    <t>OC_SEAR_BUG_003</t>
  </si>
  <si>
    <t>OC_SEAR_TC_141</t>
  </si>
  <si>
    <t>EP - Uppercase keyword</t>
  </si>
  <si>
    <t>Search – Equivalence Partitioning</t>
  </si>
  <si>
    <t>Equivalence Partitioning</t>
  </si>
  <si>
    <t>Product named 'MacBook' exists.</t>
  </si>
  <si>
    <t>1. Enter 'MACBOOK' (all uppercase)  2. Click Search</t>
  </si>
  <si>
    <t>Keyword: MACBOOK</t>
  </si>
  <si>
    <t>Case-insensitive search returns MacBook products.</t>
  </si>
  <si>
    <t>OC_SEAR_TC_142</t>
  </si>
  <si>
    <t>EP - Lowercase keyword</t>
  </si>
  <si>
    <t>1. Enter 'macbook' (all lowercase)  2. Click Search</t>
  </si>
  <si>
    <t>Keyword: macbook</t>
  </si>
  <si>
    <t>MacBook products returned (case-insensitive).</t>
  </si>
  <si>
    <t>OC_SEAR_TC_143</t>
  </si>
  <si>
    <t>EP - Numeric keyword</t>
  </si>
  <si>
    <t>Product with numeric model exists.</t>
  </si>
  <si>
    <t>1. Enter '3065'  2. Click Search</t>
  </si>
  <si>
    <t>Keyword: 3065</t>
  </si>
  <si>
    <t>Products with '3065' returned</t>
  </si>
  <si>
    <t>OC_SEAR_TC_144</t>
  </si>
  <si>
    <t>EP - Alphanumeric keyword</t>
  </si>
  <si>
    <t>1. Enter 'LP3065'  2. Click Search</t>
  </si>
  <si>
    <t>Keyword: LP3065</t>
  </si>
  <si>
    <t>Matching products returned. Alphanumeric input handled correctly.</t>
  </si>
  <si>
    <t>OC_SEAR_TC_145</t>
  </si>
  <si>
    <t>EP - Keyword with leading/trailing spaces</t>
  </si>
  <si>
    <t>1. Enter '  MacBook  ' with leading/trailing spaces  2. Click Search</t>
  </si>
  <si>
    <t>Keyword: '  MacBook  ' (with spaces)</t>
  </si>
  <si>
    <t>System trims whitespace; MacBook products returned.</t>
  </si>
  <si>
    <t>OC_SEAR_TC_146</t>
  </si>
  <si>
    <t>EP - Multi-word keyword</t>
  </si>
  <si>
    <t>Multi-word product name exists.</t>
  </si>
  <si>
    <t>1. Enter 'Apple MacBook Pro'  2. Click Search</t>
  </si>
  <si>
    <t>Keyword: Apple MacBook Pro</t>
  </si>
  <si>
    <t>Products matching all or part of multi-word query returned.</t>
  </si>
  <si>
    <t>The search doesn't return any results</t>
  </si>
  <si>
    <t>OC_SEAR_BUG_004</t>
  </si>
  <si>
    <t>OC_SEAR_TC_147</t>
  </si>
  <si>
    <t>Search with whitespace-only input</t>
  </si>
  <si>
    <t>Search – Error Handling</t>
  </si>
  <si>
    <t>Error Handling</t>
  </si>
  <si>
    <t>1. Enter only spaces in Keywords  2. Click Search</t>
  </si>
  <si>
    <t>Keyword: '     ' (5 spaces)</t>
  </si>
  <si>
    <t>System trims to empty and returns empty results.</t>
  </si>
  <si>
    <t>The search returns all available products on the website</t>
  </si>
  <si>
    <t>OC_SEAR_BUG_005</t>
  </si>
  <si>
    <t>OC_SEAR_TC_148</t>
  </si>
  <si>
    <t>Search with special characters only</t>
  </si>
  <si>
    <t>1. Enter '@#$%^&amp;*()'  2. Click Search</t>
  </si>
  <si>
    <t>Keyword: @#$%^&amp;*()</t>
  </si>
  <si>
    <t>No results returned and message shows "There is no product that matches the search criteria."</t>
  </si>
  <si>
    <t>No results is returned and message shows "There is no product that matches the search criteria."</t>
  </si>
  <si>
    <t>OC_SEAR_TC_149</t>
  </si>
  <si>
    <t>Category nav links from search page</t>
  </si>
  <si>
    <t>1. From search page, click 'Laptops &amp; Notebooks' in nav bar  2. Observe navigation</t>
  </si>
  <si>
    <t>User taken to Laptops &amp; Notebooks category page.</t>
  </si>
  <si>
    <t>OC_SEAR_TC_150</t>
  </si>
  <si>
    <t>Search button styling</t>
  </si>
  <si>
    <t>1. Navigate to search page  2. Inspect Search button appearance</t>
  </si>
  <si>
    <t>Button design and appearance consistent with site theme.</t>
  </si>
  <si>
    <t>OC_SEAR_TC_151</t>
  </si>
  <si>
    <t>Keywords input placeholder text</t>
  </si>
  <si>
    <t>1. Navigate to search page  2. Observe placeholder without clicking field</t>
  </si>
  <si>
    <t>Placeholder text 'Keywords' displayed in grey inside the field.</t>
  </si>
  <si>
    <t>OC_SEAR_TC_152</t>
  </si>
  <si>
    <t>Page title and breadcrumb accuracy</t>
  </si>
  <si>
    <t>1. Navigate to search page  2. Check browser tab title and breadcrumb</t>
  </si>
  <si>
    <t>Browser tab shows 'Search'. Breadcrumb: Home &gt; Search.</t>
  </si>
  <si>
    <t>OC_SEAR_TC_153</t>
  </si>
  <si>
    <t>Header and footer render correctly</t>
  </si>
  <si>
    <t>1. Navigate to search page  2. Inspect header and footer</t>
  </si>
  <si>
    <t>Header: logo, nav, cart. Footer: Info, Customer Service, Extras, My Account columns with correct links.</t>
  </si>
  <si>
    <t>OC_SEAR_TC_154</t>
  </si>
  <si>
    <t>Focus state on Keywords input</t>
  </si>
  <si>
    <t>1. Click on the Keywords field  2. Observe visual feedback</t>
  </si>
  <si>
    <t>Field gets a visible focus outline/border indicating it is active.</t>
  </si>
  <si>
    <t>OC_SEAR_TC_155</t>
  </si>
  <si>
    <t>Tab key navigation through form elements</t>
  </si>
  <si>
    <t>1. Click Keywords field  2. Press Tab repeatedly  3. Observe focus progression</t>
  </si>
  <si>
    <t>Focus moves logically: Keywords → Category → Description checkbox → Search button.</t>
  </si>
  <si>
    <t>OC_SEAR_TC_156</t>
  </si>
  <si>
    <t>Checkbox labels are clickable</t>
  </si>
  <si>
    <t>1. Click label text 'Search in product descriptions'  2. Check if checkbox toggles  3. Repeat for 'Search in subcategories'</t>
  </si>
  <si>
    <t>Clicking the label text toggles the associated checkbox (label bound to input).</t>
  </si>
  <si>
    <t>OC_SEAR_TC_157</t>
  </si>
  <si>
    <t>BVA - Exactly 2 characters</t>
  </si>
  <si>
    <t>1. Enter 'HP' (2 chars)  2. Click Search</t>
  </si>
  <si>
    <t>Keyword: HP</t>
  </si>
  <si>
    <t>HP products returned. No minimum-length validation error.</t>
  </si>
  <si>
    <t>OC_SEAR_TC_158</t>
  </si>
  <si>
    <t>EP - Mixed case keyword</t>
  </si>
  <si>
    <t>Product exists.</t>
  </si>
  <si>
    <t>1. Enter 'mAcBoOk'  2. Click Search</t>
  </si>
  <si>
    <t>Keyword: mAcBoOk</t>
  </si>
  <si>
    <t>MacBook products returned regardless of case.</t>
  </si>
  <si>
    <t>OC_SEAR_TC_159</t>
  </si>
  <si>
    <t>Search with Arabic</t>
  </si>
  <si>
    <t>1. Enter Arabic text  2. Click Search</t>
  </si>
  <si>
    <t>Keyword: كاميرا</t>
  </si>
  <si>
    <t>Input accepted without encoding error. No results returned.</t>
  </si>
  <si>
    <t>OC_SEAR_TC_160</t>
  </si>
  <si>
    <t>Double-click on Search button</t>
  </si>
  <si>
    <t>1. Enter 'MacBook'  2. Double-click Search button rapidly</t>
  </si>
  <si>
    <t>Search triggered once. No duplicate requests or page errors.</t>
  </si>
  <si>
    <t>OC_SEAR_TC_161</t>
  </si>
  <si>
    <t>Browser back button after search</t>
  </si>
  <si>
    <t>A search has been performed.</t>
  </si>
  <si>
    <t>1. Search for 'MacBook'  2. Click on a product  3. Press browser Back</t>
  </si>
  <si>
    <t>User returns to search results with previous search intact.</t>
  </si>
  <si>
    <t>OC_SEAR_TC_162</t>
  </si>
  <si>
    <t>Page refresh after search</t>
  </si>
  <si>
    <t>1. Search for 'MacBook'  2. Press F5/Refresh</t>
  </si>
  <si>
    <t>Page reloads and re-executes the same search, same results shown.</t>
  </si>
  <si>
    <t>OC_SEAR_TC_163</t>
  </si>
  <si>
    <t>Sort/filter options on results</t>
  </si>
  <si>
    <t>Search returns multiple results.</t>
  </si>
  <si>
    <t>1. Search for 'MacBook'  2. Look for sort options  3. Select sort by price ascending</t>
  </si>
  <si>
    <t>Results re-order according to selected sort criteria.</t>
  </si>
  <si>
    <t>OC_SEAR_TC_164</t>
  </si>
  <si>
    <t>Wish List link in header</t>
  </si>
  <si>
    <t>User is logged in.</t>
  </si>
  <si>
    <t>1. Navigate to search page  2. Click 'Wish List (2)' in top navigation</t>
  </si>
  <si>
    <t>User redirected to their wish list page.</t>
  </si>
  <si>
    <t>OC_CAT_TC_165</t>
  </si>
  <si>
    <t>Logged-in user sees full category navigation bar</t>
  </si>
  <si>
    <t>Category Navigation – Functional</t>
  </si>
  <si>
    <t>1. Log in with valid credentials  2. Navigate to https://awesomeqa.com/ui/index.php  3. Observe the blue navigation bar</t>
  </si>
  <si>
    <t>Valid registered user credentials</t>
  </si>
  <si>
    <t>Navigation bar is visible with all 8 categories: Desktops, Laptops &amp; Notebooks, Components, Tablets, Software, Phones &amp; PDAs, Cameras, MP3 Players.</t>
  </si>
  <si>
    <t>OC_CAT_TC_166</t>
  </si>
  <si>
    <t>Click 'Desktops' category as logged-in user</t>
  </si>
  <si>
    <t>User is logged in and on homepage.</t>
  </si>
  <si>
    <t>1. Log in  2. Click 'Desktops' from navigation bar  3. Click on show all Desktops</t>
  </si>
  <si>
    <t>Category: Desktops</t>
  </si>
  <si>
    <t>User is redirected to Desktops category page. Desktops products are listed.</t>
  </si>
  <si>
    <t>User is redirected to Desktops but wrong product items are listed</t>
  </si>
  <si>
    <t>OC_CAT_BUG_001</t>
  </si>
  <si>
    <t>OC_CAT_TC_167</t>
  </si>
  <si>
    <t>Click 'Laptops &amp; Notebooks' category as logged-in user</t>
  </si>
  <si>
    <t>1. Log in  2. Click 'Laptops &amp; Notebooks' from navigation bar  3. Click on show all Laptops &amp; Notebooks</t>
  </si>
  <si>
    <t>Category: Laptops &amp; Notebooks</t>
  </si>
  <si>
    <t>Laptops &amp; Notebooks category page loads with relevant products.</t>
  </si>
  <si>
    <t>OC_CAT_TC_168</t>
  </si>
  <si>
    <t>Click 'Components' category as logged-in user</t>
  </si>
  <si>
    <t>1. Log in  2. Click 'Components' from navigation bar  3. Click on show all Components</t>
  </si>
  <si>
    <t>Category: Components</t>
  </si>
  <si>
    <t>Components category page loads with relevant products or subcategories.</t>
  </si>
  <si>
    <t>Components category page loads with empty product list.</t>
  </si>
  <si>
    <t>OC_CAT_BUG_002</t>
  </si>
  <si>
    <t>OC_CAT_TC_169</t>
  </si>
  <si>
    <t>Click 'Tablets' category as logged-in user</t>
  </si>
  <si>
    <t>1. Log in  2. Click 'Tablets' from navigation bar</t>
  </si>
  <si>
    <t>Category: Tablets</t>
  </si>
  <si>
    <t>Tablets category page loads with relevant products.</t>
  </si>
  <si>
    <t>OC_CAT_TC_170</t>
  </si>
  <si>
    <t>Click 'Software' category as logged-in user</t>
  </si>
  <si>
    <t>1. Log in  2. Click 'Software' from navigation bar</t>
  </si>
  <si>
    <t>Category: Software</t>
  </si>
  <si>
    <t>Software category page loads with relevant products.</t>
  </si>
  <si>
    <t>Software category page loads with empty products.</t>
  </si>
  <si>
    <t>Pending</t>
  </si>
  <si>
    <t>OC_CAT_TC_171</t>
  </si>
  <si>
    <t>Click 'Phones &amp; PDAs' category as logged-in user</t>
  </si>
  <si>
    <t>1. Log in  2. Click 'Phones &amp; PDAs' from navigation bar</t>
  </si>
  <si>
    <t>Category: Phones &amp; PDAs</t>
  </si>
  <si>
    <t>Phones &amp; PDAs category page loads with relevant products.</t>
  </si>
  <si>
    <t>OC_CAT_TC_172</t>
  </si>
  <si>
    <t>Click 'Cameras' category as logged-in user</t>
  </si>
  <si>
    <t>1. Log in  2. Click 'Cameras' from navigation bar</t>
  </si>
  <si>
    <t>Category: Cameras</t>
  </si>
  <si>
    <t>Cameras category page loads with relevant products.</t>
  </si>
  <si>
    <t>OC_CAT_TC_173</t>
  </si>
  <si>
    <t>Click 'MP3 Players' category as logged-in user</t>
  </si>
  <si>
    <t>1. Log in  2. Click 'MP3 Players' from navigation bar  3. Click on show all MP3 Players</t>
  </si>
  <si>
    <t>Category: MP3 Players</t>
  </si>
  <si>
    <t>MP3 Players category page loads with relevant products.</t>
  </si>
  <si>
    <t>OC_CAT_TC_174</t>
  </si>
  <si>
    <t>Logged-in user can add product to cart from category page</t>
  </si>
  <si>
    <t>User is logged in. Category page has products.</t>
  </si>
  <si>
    <t>1. Navigate to Phones &amp; PDAs  2. Click 'Add to Cart' button under iPhone</t>
  </si>
  <si>
    <t>Product added to cart. Confirmation message shown.</t>
  </si>
  <si>
    <t>Product added to cart. Confirmation message shown " Success: You have added iPhone to your shopping cart!".</t>
  </si>
  <si>
    <t>OC_CAT_TC_175</t>
  </si>
  <si>
    <t>Logged-in user can add product to Wish List from category page</t>
  </si>
  <si>
    <t>1. Navigate to Phones &amp; PDAs  2. Click heart button under Palm Treo Pro</t>
  </si>
  <si>
    <t>Product added to Wish List. Wish List count in header updates. Confirmation message shown.</t>
  </si>
  <si>
    <t>Product added to Wish List. Wish List count in header updates. Confirmation message shown "Success: You have added Palm Treo Pro to your wish list!"</t>
  </si>
  <si>
    <t>OC_CAT_TC_176</t>
  </si>
  <si>
    <t>Subcategory navigation works under parent category</t>
  </si>
  <si>
    <t>User is logged in. Category has subcategories (e.g., Components).</t>
  </si>
  <si>
    <t>1. Click 'Components'  2. Click a subcategory (Monitors)</t>
  </si>
  <si>
    <t>Subcategory page loads with correct products. Breadcrumb: Home &gt; Components &gt; Monitors.</t>
  </si>
  <si>
    <t>OC_CAT_TC_177</t>
  </si>
  <si>
    <t>Featured products on Hero banner link to correct product pages</t>
  </si>
  <si>
    <t>User is logged in. Featured products visible on homepage.</t>
  </si>
  <si>
    <t>1. On homepage, browse the Hero banner products with left and right arrows  2. Click on McBook image</t>
  </si>
  <si>
    <t>User is directed to McBook products page.</t>
  </si>
  <si>
    <t>Clicking on McBook image does not redirect the user to the associated product page; the page remains static</t>
  </si>
  <si>
    <t>OC_CAT_BUG_003</t>
  </si>
  <si>
    <t>OC_CAT_TC_178</t>
  </si>
  <si>
    <t>Featured products on Hero banner link to correct product pages (iPhone)</t>
  </si>
  <si>
    <t>1. On homepage, browse the Hero banner products with left and right arrows  2. Click on iPhone image</t>
  </si>
  <si>
    <t>User is directed to iPhone products page.</t>
  </si>
  <si>
    <t>User is directed to Samsung Galaxy Tab 10.1 product details page.</t>
  </si>
  <si>
    <t>OC_CAT_BUG_004</t>
  </si>
  <si>
    <t>OC_CAT_TC_179</t>
  </si>
  <si>
    <t>Add products from different categories to one cart</t>
  </si>
  <si>
    <t>1. Navigate to Tablets and Add a product to Cart  2. Navigate to Phones &amp; PDAs and Add a product to Cart  3. View Shopping Cart</t>
  </si>
  <si>
    <t>Product from Tablets + Product from Phones &amp; PDAs</t>
  </si>
  <si>
    <t>Cart contains both products from different categories. Total price is correct.</t>
  </si>
  <si>
    <t>OC_CAT_TC_180</t>
  </si>
  <si>
    <t>Breadcrumb updates correctly on category navigation</t>
  </si>
  <si>
    <t>1. Click 'Tablets' from nav  2. Inspect breadcrumb on category page</t>
  </si>
  <si>
    <t>Breadcrumb shows: Home &gt; Tablets</t>
  </si>
  <si>
    <t>OC_CAT_TC_181</t>
  </si>
  <si>
    <t>Logged-in user can navigate category then return to homepage</t>
  </si>
  <si>
    <t>1. Click 'Software'  2. Click the OpenCart logo or Home breadcrumb link</t>
  </si>
  <si>
    <t>User returns to homepage. Login session is preserved.</t>
  </si>
  <si>
    <t>OC_CAT_TC_182</t>
  </si>
  <si>
    <t>Category navigation works from a product detail page</t>
  </si>
  <si>
    <t>User is logged in and viewing a product page.</t>
  </si>
  <si>
    <t>1. Click 'Tablets' from navigation bar  2. Click 'Samsung Galaxy Tab 10.1'  3. Click on 'Cameras'</t>
  </si>
  <si>
    <t>Any product detail page</t>
  </si>
  <si>
    <t>User is taken to Cameras category page</t>
  </si>
  <si>
    <t>OC_CAT_TC_183</t>
  </si>
  <si>
    <t>Logged-in user can add product to Compare from category page</t>
  </si>
  <si>
    <t>1. Navigate to Phones &amp; PDAs  2. Click the Compare icon on two products  3. Click on 'product comparison!' link in the confirmation message shown under breadcrumb bar</t>
  </si>
  <si>
    <t>Products added successfully to compare list.</t>
  </si>
  <si>
    <t>OC_CAT_TC_184</t>
  </si>
  <si>
    <t>Logged-in user can sort products in a category</t>
  </si>
  <si>
    <t>User is logged in. Category has multiple products.</t>
  </si>
  <si>
    <t>1. Navigate to Phones &amp; PDAs  2. Use Sort By dropdown to select 'Price (Low &gt; High)'</t>
  </si>
  <si>
    <t>Category: Phones &amp; PDAs, Sort: Price (Low &gt; High)</t>
  </si>
  <si>
    <t>Products re-order from lowest to highest price.</t>
  </si>
  <si>
    <t>OC_CAT_TC_185</t>
  </si>
  <si>
    <t>Currency selector functions for logged-in user</t>
  </si>
  <si>
    <t>1. Click '$ Currency' dropdown in header  2. Select EUR</t>
  </si>
  <si>
    <t>Currency: change from USD to EUR</t>
  </si>
  <si>
    <t>All product prices update to reflect the selected currency.</t>
  </si>
  <si>
    <t>OC_CAT_TC_186</t>
  </si>
  <si>
    <t>Category page layout is consistent across all categories</t>
  </si>
  <si>
    <t>Category Navigation – UI / Visual</t>
  </si>
  <si>
    <t>1. Navigate to each of the 8 categories  2. Compare layout structure</t>
  </si>
  <si>
    <t>All 8 categories</t>
  </si>
  <si>
    <t>All category pages share the same layout: breadcrumb, sort/filter bar, product grid, pagination. No layout breaks.</t>
  </si>
  <si>
    <t>OC_CAT_TC_187</t>
  </si>
  <si>
    <t>Error handling - navigating to non-existent category ID</t>
  </si>
  <si>
    <t>Category Navigation – Error Handling</t>
  </si>
  <si>
    <t>1. Log in  2. Manually enter URL with invalid category ID 99999</t>
  </si>
  <si>
    <t>URL: /index.php?route=product/category&amp;path=99999</t>
  </si>
  <si>
    <t>User-friendly error page "Category not found!" is displayed. Session maintained.</t>
  </si>
  <si>
    <t>OC_CAT_TC_188</t>
  </si>
  <si>
    <t>Logged-in user can switch between grid and list view</t>
  </si>
  <si>
    <t>1. Navigate to Tablets  2. Click the List view icon  3. Click the Grid view icon</t>
  </si>
  <si>
    <t>Products switch between grid and list layout correctly. View preference reflected immediately.</t>
  </si>
  <si>
    <t>OC_CAT_TC_189</t>
  </si>
  <si>
    <t>Hero banner/slideshow is visible to logged-in user</t>
  </si>
  <si>
    <t>1. Log in and go to homepage  2. Observe banner area  3. Navigate through feature items using dots and left &amp; right arrows</t>
  </si>
  <si>
    <t>Slideshow/banner is visible. Slide navigation dots and Left &amp; Right arrows are visible and respond to click.</t>
  </si>
  <si>
    <t>OC_CAT_TC_190</t>
  </si>
  <si>
    <t>Active/hover state on navigation category links</t>
  </si>
  <si>
    <t>1. Hover over each category in the nav bar  2. Observe visual change</t>
  </si>
  <si>
    <t>Hovered category shows a distinct style change (darker background). Cursor changes to pointer.</t>
  </si>
  <si>
    <t>OC_CAT_TC_191</t>
  </si>
  <si>
    <t>Keyboard navigation through category links</t>
  </si>
  <si>
    <t>Category Navigation – Usability</t>
  </si>
  <si>
    <t>1. Log in  2. Tab to the navigation bar  3. Use Tab to move through categories  4. Press Enter on 'Tablets'</t>
  </si>
  <si>
    <t>Focus moves through each nav link. Pressing Enter navigates to the correct category.</t>
  </si>
  <si>
    <t>Focus moves through each nav link except categories that have subcategories under them (Desktops, Laptops &amp; Notebooks, Components, MP3 Players). Pressing Enter navigates to the correct category.</t>
  </si>
  <si>
    <t>OC_CAT_BUG_005</t>
  </si>
  <si>
    <t>OC_CAT_TC_192</t>
  </si>
  <si>
    <t>Back button after category navigation works correctly</t>
  </si>
  <si>
    <t>1. Navigate to Phones &amp; PDAs  2. Click on iPhone  3. Press browser Back button</t>
  </si>
  <si>
    <t>User returns to Phones &amp; PDAs category page.</t>
  </si>
  <si>
    <t>OC_CAT_TC_193</t>
  </si>
  <si>
    <t>Error handling - right-click open category in new tab</t>
  </si>
  <si>
    <t>1. Right-click 'Components' in nav bar  2. Select 'Open in new tab'</t>
  </si>
  <si>
    <t>New tab opens correctly with Components category. Login session carried to new tab.</t>
  </si>
  <si>
    <t>OC_CAT_TC_194</t>
  </si>
  <si>
    <t>Error handling - double-click on category link</t>
  </si>
  <si>
    <t>1. Double-click 'Software' in nav bar quickly</t>
  </si>
  <si>
    <t>Category page loads once. No duplicate requests or errors. No page freeze.</t>
  </si>
  <si>
    <t>OC_COMP_TC_195</t>
  </si>
  <si>
    <t>Add product from Category page</t>
  </si>
  <si>
    <t>Product Compare – Functional</t>
  </si>
  <si>
    <t>1. Go to category page 2. Click 'Compare' icon on a product thumbnail</t>
  </si>
  <si>
    <t>Product: HTC Touch HD</t>
  </si>
  <si>
    <t>Success message appears with comparison link.</t>
  </si>
  <si>
    <t>shorouk mohamed</t>
  </si>
  <si>
    <t>OC_COMP_TC_196</t>
  </si>
  <si>
    <t>Appearance of Success Alert</t>
  </si>
  <si>
    <t>Product added to compare.</t>
  </si>
  <si>
    <t>1. Trigger the 'Compare' action</t>
  </si>
  <si>
    <t>-</t>
  </si>
  <si>
    <t>A green success bar is displayed at the top.</t>
  </si>
  <si>
    <t>OC_COMP_TC_197</t>
  </si>
  <si>
    <t>The 5th Item Logic</t>
  </si>
  <si>
    <t>4 items already in comparison list.</t>
  </si>
  <si>
    <t>1. Add 4 items to compare 2. Add a 5th item</t>
  </si>
  <si>
    <t>5 different products</t>
  </si>
  <si>
    <t>The 1st item is removed; list keeps the latest 4 items.</t>
  </si>
  <si>
    <t>OC_COMP_TC_198</t>
  </si>
  <si>
    <t>Duplicate Entry Test</t>
  </si>
  <si>
    <t>At least 1 product on category page.</t>
  </si>
  <si>
    <t>1. Click 'Compare' on the same item twice</t>
  </si>
  <si>
    <t>System ignores the 2nd click or shows 'Already added'.</t>
  </si>
  <si>
    <t>OC_COMP_TC_199</t>
  </si>
  <si>
    <t>Price Consistency Check</t>
  </si>
  <si>
    <t>Comparison page open.</t>
  </si>
  <si>
    <t>1. Open Comparison Page 2. Observe 'Price' row</t>
  </si>
  <si>
    <t>Price: $122.00</t>
  </si>
  <si>
    <t>Prices match the store's actual price (e.g., $122.00).</t>
  </si>
  <si>
    <t>OC_COMP_TC_200</t>
  </si>
  <si>
    <t>Availability Status</t>
  </si>
  <si>
    <t>1. Open Comparison Page 2. Observe 'Availability' row</t>
  </si>
  <si>
    <t>Status: Out Of Stock / Pre-Order</t>
  </si>
  <si>
    <t>Shows correct status: 'Out Of Stock' or 'Pre-Order'.</t>
  </si>
  <si>
    <t>OC_COMP_TC_201</t>
  </si>
  <si>
    <t>Add to Cart Functionality</t>
  </si>
  <si>
    <t>1. Open Comparison Page 2. Click the blue 'Add to Cart' button</t>
  </si>
  <si>
    <t>Product is added to cart directly from the table.</t>
  </si>
  <si>
    <t>OC_COMP_TC_202</t>
  </si>
  <si>
    <t>Remove Button Functionality</t>
  </si>
  <si>
    <t>Comparison page with products.</t>
  </si>
  <si>
    <t>1. Open Comparison Page 2. Click the red 'Remove' button</t>
  </si>
  <si>
    <t>Item is immediately deleted from the comparison.</t>
  </si>
  <si>
    <t>OC_COMP_TC_203</t>
  </si>
  <si>
    <t>Persistence after Refresh</t>
  </si>
  <si>
    <t>Items added to comparison.</t>
  </si>
  <si>
    <t>1. Add items to comparison 2. Refresh page</t>
  </si>
  <si>
    <t>Comparison list remains saved (Session check).</t>
  </si>
  <si>
    <t>OC_COMP_TC_204</t>
  </si>
  <si>
    <t>Verify Product Name in Alert</t>
  </si>
  <si>
    <t>Compare action triggered.</t>
  </si>
  <si>
    <t>1. Trigger 'Compare' 2. Observe the green success message</t>
  </si>
  <si>
    <t>Exact product name (e.g., HTC Touch HD) is shown.</t>
  </si>
  <si>
    <t>OC_COMP_TC_205</t>
  </si>
  <si>
    <t>Click Product Link in Alert</t>
  </si>
  <si>
    <t>Success alert is visible.</t>
  </si>
  <si>
    <t>1. Trigger 'Compare' 2. Click the product name link inside the alert</t>
  </si>
  <si>
    <t>Redirected to the specific product details page.</t>
  </si>
  <si>
    <t>OC_COMP_TC_206</t>
  </si>
  <si>
    <t>Click Comparison Link in Alert</t>
  </si>
  <si>
    <t>1. Trigger 'Compare' 2. Click 'product comparison' link in the alert</t>
  </si>
  <si>
    <t>Redirected to the Product Comparison table.</t>
  </si>
  <si>
    <t>OC_COMP_TC_207</t>
  </si>
  <si>
    <t>Success Message for 5th Item</t>
  </si>
  <si>
    <t>4 items already in comparison.</t>
  </si>
  <si>
    <t>1. Add a 5th item to comparison</t>
  </si>
  <si>
    <t>Notification shows confirming the update to the list.</t>
  </si>
  <si>
    <t>OC_COMP_TC_208</t>
  </si>
  <si>
    <t>Verify 'Product' Header Row</t>
  </si>
  <si>
    <t>Product Compare – UI</t>
  </si>
  <si>
    <t>2+ products added to comparison.</t>
  </si>
  <si>
    <t>1. Open Comparison Page 2. Observe header row</t>
  </si>
  <si>
    <t>Products: iMac, iPhone</t>
  </si>
  <si>
    <t>Product names (i.e., iMac, iPhone) appear as headers.</t>
  </si>
  <si>
    <t>OC_COMP_TC_209</t>
  </si>
  <si>
    <t>Image Thumbnail Display</t>
  </si>
  <si>
    <t>Comparison page open with products.</t>
  </si>
  <si>
    <t>1. Open Comparison Page 2. Observe 'Image' row in the table</t>
  </si>
  <si>
    <t>Product images are visible and correctly sized.</t>
  </si>
  <si>
    <t>OC_COMP_TC_210</t>
  </si>
  <si>
    <t>Model Information Display</t>
  </si>
  <si>
    <t>1. Open Comparison Page 2. Observe 'Model' row</t>
  </si>
  <si>
    <t>Model: SAM1, Product 11</t>
  </si>
  <si>
    <t>Model IDs (e.g., SAM1, Product 11) are accurate.</t>
  </si>
  <si>
    <t>OC_COMP_TC_211</t>
  </si>
  <si>
    <t>Brand Information Display</t>
  </si>
  <si>
    <t>1. Open Comparison Page 2. Observe 'Brand' row</t>
  </si>
  <si>
    <t>Brand: Apple</t>
  </si>
  <si>
    <t>Manufacturer name (e.g., Apple) is correctly shown.</t>
  </si>
  <si>
    <t>OC_COMP_TC_212</t>
  </si>
  <si>
    <t>Weight &amp; Dimensions Row</t>
  </si>
  <si>
    <t>1. Open Comparison Page 2. Observe technical specs rows</t>
  </si>
  <si>
    <t>Units: kg, cm</t>
  </si>
  <si>
    <t>Correct units (kg, cm) are displayed with values.</t>
  </si>
  <si>
    <t>OC_COMP_TC_213</t>
  </si>
  <si>
    <t>Comparison with 2 Items</t>
  </si>
  <si>
    <t>1. Add only 2 items to comparison 2. Open Comparison Page</t>
  </si>
  <si>
    <t>2 products</t>
  </si>
  <si>
    <t>Table adjusts to 2 columns plus feature labels.</t>
  </si>
  <si>
    <t>OC_COMP_TC_214</t>
  </si>
  <si>
    <t>Comparison with 1 Item</t>
  </si>
  <si>
    <t>1. Add only 1 item to comparison 2. Open Comparison Page</t>
  </si>
  <si>
    <t>1 product</t>
  </si>
  <si>
    <t>Table displays 1 item; layout remains consistent.</t>
  </si>
  <si>
    <t>OC_COMP_TC_215</t>
  </si>
  <si>
    <t>Empty Comparison Page</t>
  </si>
  <si>
    <t>1. Remove all items from comparison</t>
  </si>
  <si>
    <t>Shows: 'You have not chosen any products to compare.'</t>
  </si>
  <si>
    <t>OC_COMP_TC_216</t>
  </si>
  <si>
    <t>Redirect from Table to Product</t>
  </si>
  <si>
    <t>1. Open Comparison Page 2. Click product name/image in the table</t>
  </si>
  <si>
    <t>Redirected back to the Product Detail Page.</t>
  </si>
  <si>
    <t>OC_COMP_TC_217</t>
  </si>
  <si>
    <t>UI Responsiveness (Mobile)</t>
  </si>
  <si>
    <t>Mobile device or emulator available.</t>
  </si>
  <si>
    <t>1. Open Compare page on mobile</t>
  </si>
  <si>
    <t>Table is scrollable or responsive without broken layout.</t>
  </si>
  <si>
    <t>OC_COMP_TC_218</t>
  </si>
  <si>
    <t>Rating Visibility</t>
  </si>
  <si>
    <t>1. Open Comparison Page 2. Observe 'Rating' row</t>
  </si>
  <si>
    <t>Star icons and review counts are displayed.</t>
  </si>
  <si>
    <t>OC_COMP_TC_219</t>
  </si>
  <si>
    <t>Summary Text Formatting</t>
  </si>
  <si>
    <t>1. Open Comparison Page 2. Observe 'Summary' row</t>
  </si>
  <si>
    <t>Brief descriptions are readable and fit the cell.</t>
  </si>
  <si>
    <t>OC_COMP_TC_220</t>
  </si>
  <si>
    <t>Table UI Alignment</t>
  </si>
  <si>
    <t>Comparison page open with 4 products.</t>
  </si>
  <si>
    <t>1. Open Comparison Page 2. Scroll through comparison rows</t>
  </si>
  <si>
    <t>Horizontal rows stay perfectly aligned across all items.</t>
  </si>
  <si>
    <t>OC_COMP_TC_221</t>
  </si>
  <si>
    <t>Page Path Link</t>
  </si>
  <si>
    <t>1. Open Comparison Page 2. Click 'Product Comparison' link at the top of the page path</t>
  </si>
  <si>
    <t>The page should reload or stay on the Comparison table without errors.</t>
  </si>
  <si>
    <t>The page reloads and stays on the Comparison table without errors.</t>
  </si>
  <si>
    <t>OC_COMP_TC_222</t>
  </si>
  <si>
    <t>Alert Background/Checkmark</t>
  </si>
  <si>
    <t>1. Trigger 'Compare' action 2. Observe the Success Alert UI</t>
  </si>
  <si>
    <t>Green checkmark and background match the theme.</t>
  </si>
  <si>
    <t>OC_SCAT_TC_223</t>
  </si>
  <si>
    <t>Random Sub-category Selection (Mac)</t>
  </si>
  <si>
    <t>Category Selection – Functional</t>
  </si>
  <si>
    <t>Site accessible. Sub-categories exist.</t>
  </si>
  <si>
    <t>1. Hover over 'Desktops'  2. Click on 'Mac (1)'</t>
  </si>
  <si>
    <t>User is redirected to the Mac products page.</t>
  </si>
  <si>
    <t>OC_SCAT_TC_224</t>
  </si>
  <si>
    <t>Random Sub-category Selection (Windows)</t>
  </si>
  <si>
    <t>1. Hover over 'Laptops &amp; Notebooks'  2. Click on 'Windows (0)'</t>
  </si>
  <si>
    <t>User is redirected to the Windows products page.</t>
  </si>
  <si>
    <t>OC_SCAT_TC_225</t>
  </si>
  <si>
    <t>Verify 'Show All' Link (Desktops)</t>
  </si>
  <si>
    <t>Site accessible. Multiple categories exist.</t>
  </si>
  <si>
    <t>1. Hover over 'Desktops'  2. Click 'Show All Desktops'</t>
  </si>
  <si>
    <t>Redirected to the full Desktops category page.</t>
  </si>
  <si>
    <t>OC_SCAT_TC_226</t>
  </si>
  <si>
    <t>Verify 'Show All' Link (Laptops)</t>
  </si>
  <si>
    <t>1. Hover over 'Laptops &amp; Notebooks'  2. Click 'Show All Laptops &amp; Notebooks'</t>
  </si>
  <si>
    <t>Redirected to the full Laptops category page.</t>
  </si>
  <si>
    <t>OC_SCAT_TC_227</t>
  </si>
  <si>
    <t>Verify 'Show All' Link (Components)</t>
  </si>
  <si>
    <t>1. Hover over 'Components'  2. Click 'Show All Components'</t>
  </si>
  <si>
    <t>Redirected to the full Components category page.</t>
  </si>
  <si>
    <t>OC_SCAT_TC_228</t>
  </si>
  <si>
    <t>Direct Main Category Click (Tablets)</t>
  </si>
  <si>
    <t>Site accessible. Category is clickable.</t>
  </si>
  <si>
    <t>1. Click directly on 'Tablets' in the Nav-bar</t>
  </si>
  <si>
    <t>User is redirected to the Tablets category page.</t>
  </si>
  <si>
    <t>OC_SCAT_TC_229</t>
  </si>
  <si>
    <t>Direct Main Category Click (Software)</t>
  </si>
  <si>
    <t>1. Click directly on 'Software' in the Nav-bar</t>
  </si>
  <si>
    <t>User is redirected to the Software category page.</t>
  </si>
  <si>
    <t>OC_SCAT_TC_230</t>
  </si>
  <si>
    <t>Product Count Verification</t>
  </si>
  <si>
    <t>Products exist in database under categories.</t>
  </si>
  <si>
    <t>1. Hover over category dropdown  2. Observe the number in brackets (e.g., 'Mac (1)')</t>
  </si>
  <si>
    <t>The number should match the actual number of items in that category.</t>
  </si>
  <si>
    <t>The number matches the actual number of items in that category.</t>
  </si>
  <si>
    <t>OC_SCAT_TC_231</t>
  </si>
  <si>
    <t>Empty Category Handling</t>
  </si>
  <si>
    <t>Category with 0 products exists.</t>
  </si>
  <si>
    <t>1. Hover over Desktops  2. Click on 'PC (0)'</t>
  </si>
  <si>
    <t>Page should load with a "No products found" message.</t>
  </si>
  <si>
    <t>Page loads with a "There are no products to list..." message.</t>
  </si>
  <si>
    <t>OC_SCAT_TC_232</t>
  </si>
  <si>
    <t>Components Dropdown List</t>
  </si>
  <si>
    <t>All sub-categories configured in backend.</t>
  </si>
  <si>
    <t>1. Hover over 'Components'</t>
  </si>
  <si>
    <t>All sub-categories (Mice, Monitors, Printers, Scanners, Web Cameras) are displayed.</t>
  </si>
  <si>
    <t>All expected sub-categories are displayed in the list.</t>
  </si>
  <si>
    <t>OC_SCAT_TC_233</t>
  </si>
  <si>
    <t>Dropdown Visibility</t>
  </si>
  <si>
    <t>Category Selection – UI / Visual</t>
  </si>
  <si>
    <t>1. Hover over 'Desktops'</t>
  </si>
  <si>
    <t>The dropdown menu appears smoothly without blocking other elements.</t>
  </si>
  <si>
    <t>The dropdown menu appears smoothly without blocking elements.</t>
  </si>
  <si>
    <t>OC_SCAT_TC_234</t>
  </si>
  <si>
    <t>Sequential Navigation</t>
  </si>
  <si>
    <t>Category Selection – Usability</t>
  </si>
  <si>
    <t>1. Click 'Tablets'  2. Quickly click 'Software'</t>
  </si>
  <si>
    <t>The website should load the most recent click (Software) without crashing.</t>
  </si>
  <si>
    <t>Website handles rapid switching and loads Software page safely.</t>
  </si>
  <si>
    <t>OC_SCAT_TC_235</t>
  </si>
  <si>
    <t>Nav-bar Width Responsiveness</t>
  </si>
  <si>
    <t>Responsive design active.</t>
  </si>
  <si>
    <t>1. Resize the browser window to mobile width</t>
  </si>
  <si>
    <t>The Nav-bar should either wrap or turn into a mobile menu (Burger menu).</t>
  </si>
  <si>
    <t>The Nav-bar turns into a mobile burger menu at lower breaking points.</t>
  </si>
  <si>
    <t>OC_SCAT_TC_236</t>
  </si>
  <si>
    <t>Hover Visual Feedback</t>
  </si>
  <si>
    <t>1. Move mouse over 'Phones &amp; PDAs'  2. Observe element background or text</t>
  </si>
  <si>
    <t>The tab background or text color should change visually.</t>
  </si>
  <si>
    <t>The tab background and text color changed visually on hover.</t>
  </si>
  <si>
    <t>OC_SCAT_TC_237</t>
  </si>
  <si>
    <t>Dropdown Dismissal</t>
  </si>
  <si>
    <t>Dropdown menu is currently open.</t>
  </si>
  <si>
    <t>1. Move mouse away from the menu</t>
  </si>
  <si>
    <t>The dropdown menu should disappear immediately.</t>
  </si>
  <si>
    <t>The dropdown menu disappears immediately when mouse leaves.</t>
  </si>
  <si>
    <t>OC_SCAT_TC_238</t>
  </si>
  <si>
    <t>Right-Click Functionality</t>
  </si>
  <si>
    <t>Browser support active.</t>
  </si>
  <si>
    <t>1. Right-click 'Cameras'  2. Select 'Open in new tab'</t>
  </si>
  <si>
    <t>The Cameras page should open successfully in a new tab.</t>
  </si>
  <si>
    <t>The Cameras page opens successfully in a new browser tab.</t>
  </si>
  <si>
    <t>OC_UI_HOVER_TC_239</t>
  </si>
  <si>
    <t>Verify hover effect on main categories displays correct visual feedback</t>
  </si>
  <si>
    <t>Category Navigation</t>
  </si>
  <si>
    <t>UI Testing</t>
  </si>
  <si>
    <t>User is on homepage
Category menu is visible
Desktop browser is used</t>
  </si>
  <si>
    <t>1. Hover over a main category (e.g., Desktops, Components)
2. Observe visual feedback (color change / highlight)
3. If category has subcategories → verify dropdown appears
4. Hover over a subcategory item
5. Move mouse away and verify state reset</t>
  </si>
  <si>
    <t>Main Categories With Subcategories:
Desktops → PC, Mac
Laptops &amp; Notebooks → Windows, Mac
Components → Monitors, Printers, Mice
Main Categories Without Subcategories:
Tablets
Software
Phones &amp; PDAs</t>
  </si>
  <si>
    <t>Main category shows clear hover state
Subcategories dropdown appears only where applicable
Subcategories also show smooth hover effect
No flickering or UI glitches
Hover state resets correctly when mouse leaves</t>
  </si>
  <si>
    <t>When hovering over a main category, a shadow/highlight effect appears on the category text immediately.
If the main category contains subcategories, the subcategory dropdown is displayed correctly.
When hovering over a subcategory, its color changes to blue as expected.
However, no arrow or visual indicator is displayed next to main categories to indicate that they contain expandable subcategories.</t>
  </si>
  <si>
    <t>Mariam Elgandour</t>
  </si>
  <si>
    <t>OC_UI_HOVER_TC_240</t>
  </si>
  <si>
    <t>Verify hover behavior on categories without subcategories</t>
  </si>
  <si>
    <t>User is on homepage
Categories menu is visible</t>
  </si>
  <si>
    <t>1. Open HomePage
2. Hover over a main category that has NO subcategories (e.g., Tablets, Software)
3. Observe UI behavior
4. Move mouse away</t>
  </si>
  <si>
    <t>Categories Without Subcategories:
Tablets
Software
Cameras
Phones &amp; PDAs</t>
  </si>
  <si>
    <t>Only color/visual highlight appears
No dropdown is displayed
Cursor indicates clickable element
Hover state resets properly</t>
  </si>
  <si>
    <t>When hovering over a main category without subcategories, the category changes visually to indicate the hover state.
No dropdown menu is displayed for categories that do not contain subcategories.
When the mouse leaves the category area, the category returns to its default state correctly.
The category opens successfully with a single click without requiring additional interaction.</t>
  </si>
  <si>
    <t>None</t>
  </si>
  <si>
    <t>OC_UI_HOVER_TC_241</t>
  </si>
  <si>
    <t>Verify hover effect performance is smooth and consistent across interactions</t>
  </si>
  <si>
    <t>UI Performance</t>
  </si>
  <si>
    <t>Desktop browser is used
Hover-enabled UI elements exist</t>
  </si>
  <si>
    <t>1. Open homepage
2. Move mouse over multiple categories repeatedly
3. Quickly switch between main categories and subcategories
4. Hover rapidly in and out of elements
5. Observe responsiveness and visual stability</t>
  </si>
  <si>
    <t>UI Elements &amp; Scenarios:
Main Category → Repeated hover interaction
Subcategory → Fast hover switching
Dropdown Menu → Rapid mouse movement
Navigation Menu → Continuous hover transition
Screen Resolutions:
Desktop → 1366×768
Desktop → 1920×1080
Laptop → 1440×900
High Resolution Desktop → 2560×1440</t>
  </si>
  <si>
    <t>Hover effect appears instantly (no delay)
No flickering or visual glitches
Smooth transitions between states
No UI lag during fast mouse movement
Consistent behavior across all elements</t>
  </si>
  <si>
    <t>Hover effect appears instantly and smoothly on all main categories.
Dropdown menus and subcategories display correctly on hover without flickering or delay.
Hover behavior remains stable and responsive during rapid mouse movement between categories.</t>
  </si>
  <si>
    <t>OC_UI_HOVER_TC_242</t>
  </si>
  <si>
    <t>Verify hover effect does not interfere with click functionality</t>
  </si>
  <si>
    <t>Interaction</t>
  </si>
  <si>
    <t>Functional Testing</t>
  </si>
  <si>
    <t>User is on homepage
Clickable elements exist (categories, buttons, cards)</t>
  </si>
  <si>
    <t>1. Open HomePage
2. Hover over a clickable category
3. While hovered, perform click action
4. Repeat for:
   - Main category with subcategories
   - Main category without subcategories
   - Cards / product tiles</t>
  </si>
  <si>
    <t>UI Elements &amp; Interactions:
Main Category With Subcategories → Hover + Subcategory Click
Main Category Without Subcategories → Hover + Direct Click
Product Card → Hover + Click
Navigation Link → Hover + Click
Example Categories:
Components → Monitors
Laptops &amp; Notebooks → Windows
Tablets
Software</t>
  </si>
  <si>
    <t>Hover effect is visible before click
Click action is executed correctly
No delay or interference between hover and click
Navigation works correctly for all cases
UI remains stable after interaction</t>
  </si>
  <si>
    <t>When hovering over main categories that contain subcategories, the dropdown menu is displayed correctly.
Subcategories can be selected successfully with a single click and redirect to the correct page.
Main categories without subcategories navigate directly to their related page with a single click.
Hover effect works correctly and does not interfere with click functionality or navigation behavior.</t>
  </si>
  <si>
    <t>OC_UI_CATEGORY_TC_243</t>
  </si>
  <si>
    <t>Verify categories are visually identifiable as clickable elements</t>
  </si>
  <si>
    <t>Category Dropdown Menu</t>
  </si>
  <si>
    <t>User is on homepage
Category menu is visible
Desktop browser is used
Page fully loaded</t>
  </si>
  <si>
    <t>1. Open homepage
2. Observe category menu without hovering
3. Check default UI state of categories
4. Verify if categories look interactive (clickable)
5. Hover over main categories and observe additional feedback
6. Repeat for multiple categories in menu</t>
  </si>
  <si>
    <t>Main categories (e.g., Desktops, Laptops &amp; Notebooks, Components, Tablets, Software, Phones &amp; PDAs)
Categories with and without subcategories</t>
  </si>
  <si>
    <t>Categories show visual indication of clickability in their default state
Cursor changes appropriately on hover
Hover effect provides additional visual feedback
Categories containing subcategories are visually distinguishable if applicable
UI behavior remains consistent across all category items
No misleading or broken visual behavior is observed</t>
  </si>
  <si>
    <t>Categories appear as normal text in the default state and do not clearly indicate clickability.
Main categories are not visually emphasized (e.g., no bold styling or dropdown indicator icons are displayed for categories containing subcategories).
However, when hovering over a category, a grey highlight/shadow appears and provides visual feedback to the user.</t>
  </si>
  <si>
    <t>OC_UI_CATEGORY_TC_244</t>
  </si>
  <si>
    <t>Verify proper visual hierarchy between main and subcategories</t>
  </si>
  <si>
    <t>User is on homepage
Category menu is visible
Desktop browser is used
At least one main category contains subcategories
Page is fully loaded</t>
  </si>
  <si>
    <t>1. Open homepage
2. Locate the top navigation category menu
3. Hover over a main category that contains subcategories (e.g., Components)
4. Observe the appearance of subcategories
5. Compare the visual style between Main categories and Subcategories
6. Repeat on different category groups
7. Verify whether hierarchy between levels is visually clear</t>
  </si>
  <si>
    <t>Components → Monitors, Mice, Printers
Desktops → PC, Mac
Laptops &amp; Notebooks → Windows, Mac
Software → Web Software, Mobile Software</t>
  </si>
  <si>
    <t>Main categories are visually distinguishable from subcategories
Clear hierarchy exists between parent and child items
Subcategories appear visually secondary to main categories
Styling, spacing, or font weight helps users understand navigation levels
Hover effect does not affect hierarchy clarity
UI remains clean and consistent across all category groups</t>
  </si>
  <si>
    <t>Main categories and subcategories are displayed correctly, and users can identify the parent-child relationship during navigation.
Main and subcategories have similar font size and styling.
The hierarchy is mainly indicated through hover behavior and navigation structure.
Visual distinction between levels appears through the blue hover effect on subcategories.
Overall hierarchy remains understandable and navigation works correctly.</t>
  </si>
  <si>
    <t>OC_UI_CATEGORY_TC_245</t>
  </si>
  <si>
    <t>Verify spacing and alignment between category elements</t>
  </si>
  <si>
    <t>Application / website is opened on desktop
User is using Google Chrome
Top navigation category menu is visible
Page is fully loaded
Mouse is available and working properly</t>
  </si>
  <si>
    <t>1. Open the website in Chrome
2. Navigate to the top navigation category menu
3. Observe all listed categories:
   - Desktops
   - Laptops &amp; Notebooks
   - Components
   - Tablets
   - Software
   - Phones &amp; PDAs
   - Cameras
   - MP3 Players
4. Check spacing between each category item
5. Verify alignment of all category items in the menu
6. Hover over each category and verify spacing remains stable</t>
  </si>
  <si>
    <t>Desktops
Laptops &amp; Notebooks
Components
Tablets
Software
Phones &amp; PDAs
Cameras
MP3 Players</t>
  </si>
  <si>
    <t>All category items should be evenly spaced
Categories should be properly aligned in a consistent layout
No overlapping or misalignment should appear
Spacing should remain stable during hover state
UI should appear clean and structured</t>
  </si>
  <si>
    <t>Category items are evenly spaced and aligned correctly across the navigation menu.
No overlapping or alignment issues are observed during normal or hover states.
Spacing remains consistent between all category elements.
UI layout appears clean and well-structured.</t>
  </si>
  <si>
    <t>OC_BREADCRUMB_TC_246</t>
  </si>
  <si>
    <t>Verify breadcrumb structure, navigation, and click behavior</t>
  </si>
  <si>
    <t>Breadcrumb Navigation</t>
  </si>
  <si>
    <t>Website is opened on desktop browser
Breadcrumb component is visible
Main categories and subcategories exist
Page is fully loaded</t>
  </si>
  <si>
    <t>1. Open homepage
2. Navigate to a main category (e.g., Components)
3. Select a subcategory (e.g., Monitors)
4. Observe breadcrumb structure
5. Click on breadcrumb items: Home, Main Category
6. Verify navigation for each click
7. Repeat for different categories and subcategories
8. Observe breadcrumb update after each navigation</t>
  </si>
  <si>
    <t>Home &gt; Components &gt; Monitors
Home &gt; Laptops &amp; Notebooks &gt; Windows
Home &gt; Desktops &gt; PC</t>
  </si>
  <si>
    <t>Breadcrumb correctly reflects hierarchy: Home &gt; Main Category &gt; Subcategory
Breadcrumb updates dynamically after navigation changes
Each breadcrumb item (except current page) is clickable and redirects correctly
Clicking Home returns to homepage
Clicking Main Category removes subcategory and stops at parent level
No missing, duplicated, or broken breadcrumb items
Breadcrumb remains visible, consistent, and properly structured across navigation</t>
  </si>
  <si>
    <t>Breadcrumb displayed correct hierarchy after selecting categories and subcategories
Breadcrumb updated dynamically during navigation without delay
Clicking Home redirected successfully to homepage
Clicking Main Category redirected correctly and removed subcategory level
Breadcrumb remained consistent and properly structured after navigation
No missing or duplicated breadcrumb items were observed</t>
  </si>
  <si>
    <t>OC_BREADCRUMB_TC_247</t>
  </si>
  <si>
    <t>Verify breadcrumb on pages without subcategories</t>
  </si>
  <si>
    <t>Application / website is opened on desktop
User is using Google Chrome
Website is fully loaded
Breadcrumb navigation is enabled and visible
User navigates to a category page that does not contain subcategories</t>
  </si>
  <si>
    <t>1. Open the website in Chrome
2. Navigate to a category that does not contain subcategories (e.g., Cameras)
3. Observe the breadcrumb displayed at the top of the page
4. Verify breadcrumb structure is displayed correctly
5. Verify breadcrumb contains only available hierarchy levels: Home &gt; Category
6. Click on the "Home" breadcrumb item
7. Verify user is redirected to the homepage
8. Click on the category breadcrumb item
9. Verify user remains on the corresponding category page
10. Repeat the same steps on other categories without subcategories</t>
  </si>
  <si>
    <t>Cameras
MP3 Players
Tablets</t>
  </si>
  <si>
    <t>Breadcrumb is displayed correctly on pages without subcategories
Breadcrumb structure contains only existing navigation levels
Breadcrumb navigation works correctly without missing or broken items
No empty breadcrumb levels or incorrect separators are displayed
Navigation remains functional and consistent across all tested pages</t>
  </si>
  <si>
    <t>When selecting a main category without subcategories, the breadcrumb displays: Home icon and Selected main category.
Clicking on another main category without subcategories updates the breadcrumb correctly to reflect the newly selected category.
Breadcrumb navigation updates dynamically based on the selected category.
No missing items, broken links, or layout issues are observed.</t>
  </si>
  <si>
    <t>OC_BREADCRUMB_TC_248</t>
  </si>
  <si>
    <t>Verify breadcrumb visibility on all pages</t>
  </si>
  <si>
    <t>Regression Testing</t>
  </si>
  <si>
    <t>Application / website is opened on desktop
User is using Google Chrome
Website is fully loaded
Breadcrumb feature is enabled in the application</t>
  </si>
  <si>
    <t>1. Open the website in Chrome
2. Navigate to the homepage
3. Verify breadcrumb visibility on the page
4. Navigate to a main category page (e.g., Components)
5. Verify breadcrumb is displayed correctly
6. Navigate to a subcategory page (e.g., Monitors)
7. Verify breadcrumb remains visible
8. Navigate to categories without subcategories (e.g., Cameras, Tablets)
9. Verify breadcrumb visibility on each page
10. Repeat the same steps across different pages in the application</t>
  </si>
  <si>
    <t>Home Page
Components Page
Monitors Page
Cameras Page
Tablets Page
Software Page</t>
  </si>
  <si>
    <t>Breadcrumb should be visible on all applicable pages.
Breadcrumb should remain properly aligned and readable.
Breadcrumb structure should update correctly based on navigation.
Breadcrumb component should not be missing on any tested page.
Breadcrumb visibility and behavior should remain consistent across all navigation flows.</t>
  </si>
  <si>
    <t>Breadcrumb is displayed on all applicable pages.
Breadcrumb updates correctly when a different category/subcategory is selected.
Breadcrumb is displayed properly and reflects the correct navigation path.</t>
  </si>
  <si>
    <t>OC_BREADCRUMB_TC_249</t>
  </si>
  <si>
    <t>Verify breadcrumb consistency across the website</t>
  </si>
  <si>
    <t>User is on the website home page.
Website is fully loaded and accessible.
Multiple categories and subcategories are available in the navigation menu.</t>
  </si>
  <si>
    <t>1. Open the website home page.
2. Navigate to any main category from the menu.
3. Select a subcategory under the chosen category.
4. Observe the breadcrumb display at each navigation level.
5. Click different levels in the breadcrumb (e.g., Home → Category → Subcategory).
6. Repeat the navigation across different categories and pages.
7. Verify breadcrumb updates correctly after each navigation change.</t>
  </si>
  <si>
    <t>Main Category: Any available category
Subcategory: Any valid subcategory under selected main category
Pages: Home Page, Category Page, Subcategory Page, Product/Listing Page</t>
  </si>
  <si>
    <t>Breadcrumb is visible on all applicable pages.
Breadcrumb correctly reflects the current navigation path.
Breadcrumb updates dynamically when navigating between categories and subcategories.
Breadcrumb remains consistent and properly aligned across all pages.
Clicking breadcrumb levels navigates correctly to the selected page.</t>
  </si>
  <si>
    <t>Breadcrumb is displayed on all pages.
When selecting a main category and then a subcategory, the user is navigated correctly to the selected page.
Breadcrumb updates correctly and reflects the selected category and subcategory path.
Navigation through categories and subcategories works as expected without issues.</t>
  </si>
  <si>
    <t>OC_BREADCRUMB_TC_250</t>
  </si>
  <si>
    <t>Verify breadcrumb handles long category names properly</t>
  </si>
  <si>
    <t>Responsive Testing</t>
  </si>
  <si>
    <t>User is on the website home page.
Website contains categories/subcategories with long names.
Breadcrumb component is enabled and visible across pages.</t>
  </si>
  <si>
    <t>1. Open the website home page.
2. Navigate to a main category that has a long name.
3. Select a subcategory with a long name.
4. Observe the breadcrumb display.
5. Check if the full category/subcategory name is displayed properly.
6. Verify if breadcrumb layout remains aligned and readable (no overlap or breaking UI).
7. Click breadcrumb items to ensure navigation still works correctly.</t>
  </si>
  <si>
    <t>Laptop &amp; Notebook → Mac → Windows → Show all laptops &amp; notebook</t>
  </si>
  <si>
    <t>Breadcrumb displays long category and subcategory names correctly.
Text is either fully visible or properly truncated without breaking the UI.
Breadcrumb remains aligned and readable.
No overflow, overlapping, or layout issues occur.
Navigation through breadcrumb works correctly even with long names.</t>
  </si>
  <si>
    <t>User is successfully navigated to the "Show all laptops &amp; notebook" page.
The page loads correctly and displays all products as expected.
Breadcrumb updates correctly for the category hierarchy up to the available levels.
The navigation works properly without any errors or UI issues.
Breadcrumb is displayed correctly and remains consistent across previous category levels.</t>
  </si>
  <si>
    <t>OC_BREADCRUMB_TC_251</t>
  </si>
  <si>
    <t>Verify breadcrumb separator style</t>
  </si>
  <si>
    <t>User is on the website.
Breadcrumb is visible on pages with category navigation (e.g., category / subcategory / product pages).</t>
  </si>
  <si>
    <t>1. Open the website home page.
2. Navigate to Laptop &amp; Notebook category.
3. Select Windows subcategory.
4. Observe the breadcrumb displayed at the top of the page.
5. Check the separator symbol between breadcrumb items.
6. Verify spacing and alignment between breadcrumb items and separators.
7. Navigate to another category/subcategory and repeat the verification.</t>
  </si>
  <si>
    <t>Navigation Path:
Home → Laptop &amp; Notebook → Windows</t>
  </si>
  <si>
    <t>Breadcrumb separators are displayed correctly between all breadcrumb items.
Separator style remains consistent across all pages.
Spacing between breadcrumb text and separators is properly aligned and readable.
No missing, duplicated, or broken separators are displayed.
Breadcrumb layout remains visually consistent without UI issues.</t>
  </si>
  <si>
    <t>Breadcrumb separators are displayed correctly between all breadcrumb items.
Spacing and alignment remain proper and readable.
Separator style remains consistent when selecting a category with subcategories and also when selecting a category without subcategories.
No missing or broken separators are observed.</t>
  </si>
  <si>
    <t>OC_BREADCRUMB_TC_252</t>
  </si>
  <si>
    <t>Verify breadcrumb is displayed only after selecting a main category (regardless of subcategories existence)</t>
  </si>
  <si>
    <t>Conditional Rendering Testing</t>
  </si>
  <si>
    <t>User is on the website home page.
Website contains main categories with and without subcategories.</t>
  </si>
  <si>
    <t>1. Open the website home page.
2. Observe the page before selecting any category.
3. Verify whether breadcrumb is displayed or not.
4. Select a main category that contains subcategories (e.g., Laptop &amp; Notebook).
5. Verify breadcrumb appears correctly.
6. Navigate back to the home page.
7. Select a main category without subcategories.
8. Verify breadcrumb appears correctly again.</t>
  </si>
  <si>
    <t>Main Category with subcategory: Laptop &amp; Notebook → Windows
Main Category without subcategory: Tablets (or any available category without subcategories)</t>
  </si>
  <si>
    <t>Breadcrumb is not displayed before selecting any main category.
Breadcrumb appears after selecting a main category.
Breadcrumb is displayed correctly whether the selected category has subcategories or not.
Breadcrumb reflects the correct navigation path without UI issues.</t>
  </si>
  <si>
    <t>Breadcrumb is displayed after selecting a main category and subcategory.
When returning to the home page and selecting another main category or subcategory, the breadcrumb updates correctly.
Breadcrumb reflects the correct navigation path without any UI issues.</t>
  </si>
  <si>
    <t>OC_BREADCRUMB_TC_253</t>
  </si>
  <si>
    <t>Verify breadcrumb updates correctly and reflects correct hierarchy during navigation</t>
  </si>
  <si>
    <t>Website is opened on desktop browser (Chrome)
Breadcrumb component is visible
Categories and subcategories are available
Page is fully loaded</t>
  </si>
  <si>
    <t>1. Open homepage
2. Navigate to a main category (e.g., Laptop &amp; Notebook)
3. Select a subcategory (e.g., Windows)
4. Observe breadcrumb structure
5. Navigate back to homepage
6. Navigate to another main category (e.g., Components)
7. Select a different subcategory (e.g., Monitors)
8. Observe breadcrumb again
9. Repeat navigation across different categories</t>
  </si>
  <si>
    <t>Laptop &amp; Notebook → Windows
Components → Monitors
Desktops → PC</t>
  </si>
  <si>
    <t>Breadcrumb always reflects correct hierarchy: Home &gt; Main Category &gt; Subcategory
Breadcrumb updates dynamically after each navigation change
Previous navigation path is replaced correctly with the new one
Main category always appears before subcategory
No missing, duplicated, or incorrect breadcrumb items
Breadcrumb remains consistent and readable across all navigation flows</t>
  </si>
  <si>
    <t>Breadcrumb updated correctly after each navigation action
Correct hierarchy was displayed for all selected categories and subcategories
Breadcrumb changed dynamically when switching between different categories
Main category always appeared before subcategory in all cases
No duplicated, missing, or incorrect breadcrumb items were observed
Breadcrumb remained consistent and properly aligned during navigation</t>
  </si>
  <si>
    <t>OC_BREADCRUMB_TC_254</t>
  </si>
  <si>
    <t>Verify breadcrumb for direct URL access</t>
  </si>
  <si>
    <t>User has a valid direct URL for a category or subcategory page.
Website is accessible.</t>
  </si>
  <si>
    <t>1. Open a browser.
2. Paste a direct URL for a subcategory page (e.g., Windows page).
3. Load the page directly without navigating from the home page.
4. Observe the breadcrumb displayed.
5. Repeat steps using a main category direct URL.
6. Repeat steps using a listing/product page direct URL.
7. Verify breadcrumb accuracy for each case.</t>
  </si>
  <si>
    <t>Direct URL 1: Laptop &amp; Notebook → Windows page URL
Direct URL 2: Main category only page URL (e.g., Tablets)
Direct URL 3: Product listing page URL accessed directly</t>
  </si>
  <si>
    <t>Breadcrumb is displayed correctly even when accessing pages via direct URL.
Breadcrumb reflects the correct hierarchy based on the accessed page.
Main category and subcategory levels are shown properly when applicable.
Breadcrumb remains consistent, readable, and properly aligned across all direct navigation cases.
No missing or incorrect breadcrumb structure is displayed.</t>
  </si>
  <si>
    <t>User accessed the page via a direct URL.
The link opened correctly in the browser.
After pasting and navigating, the system redirected to the correct page matching the URL content.
Breadcrumb displayed correctly and reflected the proper hierarchy.
No navigation or loading issues were observed during direct URL access.</t>
  </si>
  <si>
    <t>OC_BREADCRUMB_TC_255</t>
  </si>
  <si>
    <t>Verify user is redirected correctly when clicking on a main category in breadcrumb and page content updates accordingly</t>
  </si>
  <si>
    <t>User is on a subcategory page
Breadcrumb is visible
Page is fully loaded</t>
  </si>
  <si>
    <t>1. Open a subcategory page (e.g., Windows)
2. Observe breadcrumb structure (Home &gt; Laptop &amp; Notebook &gt; Windows)
3. Click on the Main Category (Laptop &amp; Notebook) in breadcrumb
4. Observe page redirection
5. Observe breadcrumb after navigation</t>
  </si>
  <si>
    <t>Main Category: Laptop &amp; Notebook
Subcategory: Windows</t>
  </si>
  <si>
    <t>User is redirected to the selected main category page
Page content updates correctly (subcategories/products related to main category are displayed)
Breadcrumb updates and stops at: Home &gt; Laptop &amp; Notebook
Subcategory is removed after navigation
No UI or navigation issues occur</t>
  </si>
  <si>
    <t>Page is redirected successfully to the main category page, and the breadcrumb updates correctly by removing the subcategory and reflecting the current navigation path.</t>
  </si>
  <si>
    <t>OC_BREADCRUMB_TC_256</t>
  </si>
  <si>
    <t>Verify subcategory is removed and navigation stops at main category when clicking main category in breadcrumb</t>
  </si>
  <si>
    <t>User is on a subcategory page.
Breadcrumb is visible and contains both main category and subcategory.</t>
  </si>
  <si>
    <t>1. Open a subcategory page (e.g., Windows under Laptop &amp; Notebook)
2. Observe breadcrumb structure
3. Click on the Main Category (Laptop &amp; Notebook) in breadcrumb
4. Observe page redirection
5. Observe breadcrumb update after navigation</t>
  </si>
  <si>
    <t>Navigation Path: Home &gt; Laptop &amp; Notebook &gt; Windows</t>
  </si>
  <si>
    <t>User is redirected to the main category page
Breadcrumb is updated to show only: Home &gt; Laptop &amp; Notebook
Subcategory is completely removed from breadcrumb
Navigation reflects correct hierarchy after click
No UI inconsistencies or broken navigation</t>
  </si>
  <si>
    <t>When clicking on the main category in the breadcrumb, the user is redirected to the main category page successfully.
The subcategory is removed from the breadcrumb, and only the main category remains displayed.
The page content is updated correctly to reflect the selected main category.
No navigation or UI issues are observed.</t>
  </si>
  <si>
    <t>OC_NAV_TC_257</t>
  </si>
  <si>
    <t>Verify navigation on main category click redirects to correct page</t>
  </si>
  <si>
    <t>User is on a subcategory page.
Breadcrumb is visible and contains a main category.</t>
  </si>
  <si>
    <t>1. Open the website home page.
2. Select a Main Category (e.g., Laptop &amp; Notebook).
3. From the main category page, select a Subcategory (e.g., Windows).
4. Observe the breadcrumb.
5. Click on the Main Category (Laptop &amp; Notebook) in breadcrumb.
6. Verify navigation and page content after redirection.</t>
  </si>
  <si>
    <t>Navigation Path: Home → Laptop &amp; Notebook → Windows
Main Category: Laptop &amp; Notebook</t>
  </si>
  <si>
    <t>User is redirected to the correct main category page.
Page content corresponds to the selected main category.
Breadcrumb updates correctly to reflect the main category only.
No incorrect page or content is displayed after navigation.</t>
  </si>
  <si>
    <t>User was successfully redirected to the main category page after clicking the main category in the breadcrumb.
The subcategory was removed from the breadcrumb and only the main category remained displayed.
The page content updated correctly according to the selected main category without any issues.</t>
  </si>
  <si>
    <t>OC_NAV_TC_258</t>
  </si>
  <si>
    <t>Verify navigation on subcategory click works with single click</t>
  </si>
  <si>
    <t>User is on a main category page.
Breadcrumb or category list contains at least one subcategory.</t>
  </si>
  <si>
    <t>1. Open the website home page.
2. Navigate to a main category (e.g., Laptop &amp; Notebook).
3. Locate a subcategory (e.g., Windows).
4. Click once on the subcategory.
5. Observe the navigation behavior.
6. Verify the loaded page after click.</t>
  </si>
  <si>
    <t>User is redirected to the selected subcategory page with a single click.
No double click is required for navigation.
Page content updates correctly based on the selected subcategory.
Breadcrumb reflects the correct navigation path after redirection.
No delay, duplication, or incorrect navigation occurs.</t>
  </si>
  <si>
    <t>User was successfully redirected to the selected subcategory page with a single click.
The page content updated correctly based on the selected subcategory.
Breadcrumb reflected the correct navigation path after redirection.
No delays or navigation issues were observed.</t>
  </si>
  <si>
    <t>OC_NAV_TC_259</t>
  </si>
  <si>
    <t>Verify navigation between different subcategories works without errors</t>
  </si>
  <si>
    <t>User is on the website home page.
Multiple main categories and subcategories are available.</t>
  </si>
  <si>
    <t>1. Open the website home page.
2. Navigate to a main category (e.g., Laptop &amp; Notebook).
3. Select a subcategory (e.g., Windows).
4. Navigate back to the main category page.
5. Select a different subcategory (e.g., Mac).
6. Repeat navigation across different main categories and subcategories multiple times.
7. Observe system behavior during navigation.</t>
  </si>
  <si>
    <t>Main Categories: Laptop &amp; Notebook, Components
Subcategories: Windows, Mac, Monitors</t>
  </si>
  <si>
    <t>User can navigate between different subcategories without errors.
Each selected subcategory page loads correctly.
Page content updates properly after each navigation.
Breadcrumb reflects the correct navigation path every time.
No crashes, broken pages, or incorrect data are displayed.
Navigation remains stable during repeated switching between categories.</t>
  </si>
  <si>
    <t>User was able to navigate between different subcategories successfully.
Each selected subcategory page loaded correctly and page content updated as expected.
Breadcrumb reflected the correct navigation path after each selection.
A slight delay was observed during navigation, but no functional issues occurred.</t>
  </si>
  <si>
    <t>OC_NAV_TC_260</t>
  </si>
  <si>
    <t>Verify navigation on main category without subcategories opens directly</t>
  </si>
  <si>
    <t>User is on the website home page.
At least one main category exists without subcategories.</t>
  </si>
  <si>
    <t>1. Open the website home page.
2. Locate a main category that has no subcategories (e.g., Tablets).
3. Click on the main category.
4. Observe the navigation behavior.
5. Check the loaded page content.
6. Verify breadcrumb display (if applicable).</t>
  </si>
  <si>
    <t>Main Category: Tablets (or any available category without subcategories)</t>
  </si>
  <si>
    <t>User is navigated directly to the main category page upon clicking.
No intermediate subcategory page is shown.
Page content is loaded correctly for the selected main category.
Breadcrumb (if displayed) reflects only the main category.
No errors or broken navigation occur.</t>
  </si>
  <si>
    <t>User was successfully navigated to the main category page without subcategories after clicking.
Page content loaded correctly for the selected category.
Breadcrumb (if displayed) showed only the main category.
No errors or navigation issues were observed.</t>
  </si>
  <si>
    <t>TC_RESP_UI_LAYOUT_261</t>
  </si>
  <si>
    <t>Verify UI layout adapts correctly on different screen sizes</t>
  </si>
  <si>
    <t>Responsive</t>
  </si>
  <si>
    <t>Website is accessible
Browser DevTools enabled</t>
  </si>
  <si>
    <t>1. Open website on desktop browser
2. Enable responsive mode
3. Test different screen sizes:
   - Mobile (375px)
   - Tablet (768px)
   - Laptop (1024px+)
4. Observe layout changes</t>
  </si>
  <si>
    <t>Screen sizes:
Mobile: 375×667
Tablet: 768×1024
Laptop: 1366×768
Desktop: 1920×1080
Browsers: Chrome / Edge
Pages: Home, Category, Product page</t>
  </si>
  <si>
    <t>UI adapts correctly to all screen sizes
No overlapping or broken layout
Content remains readable
No horizontal scroll appears</t>
  </si>
  <si>
    <t>Mobile (375 × 667): UI adapts correctly. Categories appear in simplified form. Menu works properly and opens main categories. Breadcrumb is accessible, clickable, and displays without overlap.
Tablet (1024 × 735): Layout adjusts similar to desktop. Main categories and subcategories display correctly. Breadcrumb works as expected, and navigation back removes subcategories properly.
Desktop/Laptop: Hover works correctly on main categories. All categories are fully visible with proper alignment. No UI issues or overlap detected.
Overall: UI is fully responsive across all screen sizes with correct functionality and no layout issues.</t>
  </si>
  <si>
    <t>TC_RESP_NAV_MENU_262</t>
  </si>
  <si>
    <t>Verify navigation menu responsiveness</t>
  </si>
  <si>
    <t>Responsive Navigation</t>
  </si>
  <si>
    <t>Website is loaded
Navigation menu is visible</t>
  </si>
  <si>
    <t>1. Open website on mobile view
2. Open hamburger menu
3. Navigate between categories
4. Repeat on tablet and desktop views</t>
  </si>
  <si>
    <t>Devices:
Mobile (hamburger menu)
Tablet (collapsible menu)
Desktop (full menu)
Categories:
Desktops
Laptops &amp; Notebooks
Components
Tablets
Subcategories:
Windows
Mac
Monitors</t>
  </si>
  <si>
    <t>Navigation menu is accessible on all devices
Menu opens/closes smoothly
No missing menu items
Navigation remains functional across all screen sizes</t>
  </si>
  <si>
    <t>Hover on main categories with subcategories displays them correctly without overlap. Clicking on a main category without subcategories opens it properly. Subcategories also open correctly on selection, with no UI or functional issues observed.</t>
  </si>
  <si>
    <t>TC_DEV_COMPAT_263</t>
  </si>
  <si>
    <t>Verify website responsiveness and functionality across devices</t>
  </si>
  <si>
    <t>Device Compatibility</t>
  </si>
  <si>
    <t>Website is accessible</t>
  </si>
  <si>
    <t>1. Open website on:
   - Mobile
   - Tablet
   - Laptop/Desktop
2. Navigate categories
3. Open product pages
4. Interact with buttons and links</t>
  </si>
  <si>
    <t>Devices:
Android Mobile (Chrome)
iPhone (Safari simulation)
Tablet (iPad view)
Laptop/Desktop
Actions:
Open category page
Open product page
Click buttons / links</t>
  </si>
  <si>
    <t>UI adapts correctly on all devices
All elements are clickable
No UI distortion or layout issues
Touch and mouse interactions work properly</t>
  </si>
  <si>
    <t>The website is fully responsive across mobile, tablet, and desktop devices. UI elements adjust correctly to different screen sizes without overlap or layout issues. All functionalities such as navigation, hover, and category interactions work as expected on all devices.</t>
  </si>
  <si>
    <t>TC_PERF_PAGE_LOAD_264</t>
  </si>
  <si>
    <t>Verify page load performance and responsiveness</t>
  </si>
  <si>
    <t>Performance Testing</t>
  </si>
  <si>
    <t>Website is accessible
Stable internet connection</t>
  </si>
  <si>
    <t>1. Open homepage
2. Measure load time
3. Navigate between pages and categories
4. Observe responsiveness</t>
  </si>
  <si>
    <t>Pages:
Homepage
Category page
Product page
Network:
Normal WiFi
3G throttling (Slow network)
Tools:
Chrome DevTools (Performance tab)</t>
  </si>
  <si>
    <t>Page loads within acceptable time (&lt; 3 seconds)
No freezing or lag
Smooth navigation between pages
UI responds quickly to interactions</t>
  </si>
  <si>
    <t>Page load time after refresh is approximately 600 ms.
Navigation from main category to subcategory takes approximately 300 ms.
The page loads quickly with smooth responsiveness and no noticeable delay or performance issues.</t>
  </si>
  <si>
    <t>TC_PERF_STABILITY_265</t>
  </si>
  <si>
    <t>Verify system stability under rapid user interactions</t>
  </si>
  <si>
    <t>Website is fully loaded</t>
  </si>
  <si>
    <t>1. Open HomePage
2. Quickly switch between categories
3. Open/close navigation menu repeatedly
4. Perform rapid navigation between pages</t>
  </si>
  <si>
    <t>Actions:
Rapid category switching
Open/close menu repeatedly
Fast navigation between pages
Elements:
Navigation menu
Sidebar categories
Product cards</t>
  </si>
  <si>
    <t>No UI freeze or crash
System remains stable under stress
Smooth transitions between interactions
No delay or broken behavior</t>
  </si>
  <si>
    <t>On rapid user interactions, subcategories under main categories open correctly without issues. Repeated clicks (≈15 times) are all registered successfully, and browser loading indicator appears during processing. Navigation remains functional, and selecting a category redirects within approximately 300 ms. No UI breakdown or functional failure observed.</t>
  </si>
  <si>
    <t>TC_NET_BEHAVIOR_266</t>
  </si>
  <si>
    <t>Verify website behavior under different network conditions</t>
  </si>
  <si>
    <t>Network</t>
  </si>
  <si>
    <t>Reliability Testing</t>
  </si>
  <si>
    <t>Network simulation tools available (DevTools throttling)</t>
  </si>
  <si>
    <t>1. Open website on normal network
2. Switch to slow network (3G/4G simulation)
3. Navigate pages
4. Disconnect internet during usage
5. Try interactions
6. Reconnect internet and refresh page</t>
  </si>
  <si>
    <t>Network conditions:
Fast 4G / WiFi
Slow 3G simulation
Offline mode
Pages:
Homepage
Category page
Scenarios:
Page load
Navigation click
Reload after reconnect</t>
  </si>
  <si>
    <t>Website loads under slow network (with possible delay)
Loading indicators appear when needed
No broken UI or missing content
Proper error message shown when offline
After reconnection, system recovers correctly
No data loss or navigation failure</t>
  </si>
  <si>
    <t>Fast 4G: Page loads in approximately 1000 ms with normal responsiveness.
Slow 4G: Page loads in approximately 800 ms, with smooth UI behavior.
3G: Page load time ranges from 2000 ms to 25000 ms, with noticeable delay but UI remains functional.
Offline + Refresh: The website correctly shows a No Internet Connection message.</t>
  </si>
  <si>
    <t>Medium</t>
  </si>
  <si>
    <t>OC_WISHLIST_TC_267</t>
  </si>
  <si>
    <t>Verify product selection flow from Main Category through Subcategory to Wishlist</t>
  </si>
  <si>
    <t>Wishlist</t>
  </si>
  <si>
    <t>Application / website is opened on desktop
User is using Google Chrome
Website is fully loaded
User is logged in successfully
Products, main categories, and subcategories are available</t>
  </si>
  <si>
    <t>1. Open the website in Chrome
2. Navigate to the homepage
3. Select a main category from the navigation menu
4. Select a subcategory under the selected main category
5. Open a product from the displayed product list
6. Click on the Wishlist icon/button for the selected product
7. Navigate to the Wishlist page
8. Verify the selected product is displayed in the Wishlist</t>
  </si>
  <si>
    <t>Desktops → Mac → iMac
Laptops &amp; Notebooks → MacBook
Components → Monitors</t>
  </si>
  <si>
    <t>User can successfully navigate from Main Category → Subcategory → Product → Wishlist
Selected product is added successfully to Wishlist
Wishlist updates correctly after adding items
No navigation or UI issues appear during the flow</t>
  </si>
  <si>
    <t>User is able to hover over the Main Category and select a Subcategory successfully.
Product is displayed correctly under the selected Subcategory.
User can click on the heart icon (Add to Wishlist) for the product successfully.
Product is added to Wishlist and appears correctly in the Wishlist page.
A success notification message is displayed confirming that the product has been added to Wishlist.
No issues are observed in navigation, product selection, or Wishlist update.</t>
  </si>
  <si>
    <t>OC_WISHLIST_TC_268</t>
  </si>
  <si>
    <t>Verify Wishlist access behavior after login with active session and login prompt inconsistency</t>
  </si>
  <si>
    <t>Security Testing</t>
  </si>
  <si>
    <t>Website is opened on desktop
Website is fully loaded
User has a valid account
User is either logged in or logged out</t>
  </si>
  <si>
    <t>1. Open the website
2. Login with valid credentials
3. Navigate to Wishlist page
4. Verify Wishlist is displayed correctly for logged-in user
5. Logout from the application
6. Try to access Wishlist page directly via URL or navigation
7. Observe system behavior
8. Verify redirection to Login page for logged-out user
9. Check if any login popup/message appears inconsistently during navigation</t>
  </si>
  <si>
    <t>Valid user account credentials</t>
  </si>
  <si>
    <t>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t>
  </si>
  <si>
    <t>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</si>
  <si>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OC_WISHLIST_BUG_001</t>
  </si>
  <si>
    <t>OC_WISHLIST_TC_269</t>
  </si>
  <si>
    <t>Verify Wishlist visibility and clickable affordance in navigation menu</t>
  </si>
  <si>
    <t>Website is opened on desktop
Website is fully loaded
User is using a valid account (logged in or logged out state available for verification)</t>
  </si>
  <si>
    <t>1. Open the website
2. Locate the navigation menu / sidebar
3. Verify that the Wishlist option is visible
4. Check that Wishlist is clickable
5. Click on Wishlist
6. Verify redirection to Wishlist page
7. Repeat the test in both logged-in and logged-out states</t>
  </si>
  <si>
    <t>No specific input data is required for this test because it is a UI/navigation test.</t>
  </si>
  <si>
    <t>Wishlist is visible in the navigation menu
Wishlist is clickable and responsive
Clicking Wishlist opens the Wishlist page successfully
Behavior is consistent for both logged-in and logged-out users
No UI or navigation issues are present</t>
  </si>
  <si>
    <t>User is redirected to the Wishlist page when clicking on Wishlist from the navigation menu, regardless of whether the user is logged in or logged out. The page opens successfully in both states.</t>
  </si>
  <si>
    <t>OC_WISHLIST_TC_270</t>
  </si>
  <si>
    <t>Verify feedback message when adding an already existing product to Wishlist</t>
  </si>
  <si>
    <t>Functional + UI Testing</t>
  </si>
  <si>
    <t>Website is opened on desktop
Website is fully loaded
User is logged in successfully
User already has at least one product added to Wishlist</t>
  </si>
  <si>
    <t>1. Open the website
2. Navigate to the product list page
3. Add a product to Wishlist using the heart icon
4. Verify the product is added in Wishlist
5. Return to the same product again
6. Click on the heart icon for the same product
7. Observe the system feedback/message
8. Verify whether the system prevents duplicate addition or not</t>
  </si>
  <si>
    <t>Existing product already added in Wishlist (e.g., iPhone 15, MacBook)</t>
  </si>
  <si>
    <t>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t>
  </si>
  <si>
    <t>When adding a product that already exists in the Wishlist, the system does not duplicate the product. However, it displays a success notification message indicating that the product has been added again, which is misleading to the user.</t>
  </si>
  <si>
    <t>OC_WISHLIST_BUG_002</t>
  </si>
  <si>
    <t>OC_WISHLIST_TC_271</t>
  </si>
  <si>
    <t>Verify that user is prompted to login when attempting to add a product to Wishlist without authentication</t>
  </si>
  <si>
    <t>Functional + Security Testing</t>
  </si>
  <si>
    <t>Website is opened on desktop
Website is fully loaded
User is NOT logged in (guest user state)
Products are available in product list</t>
  </si>
  <si>
    <t>1. Open the website
2. Do not login (stay as guest user)
3. Navigate to product list page
4. Select any product
5. Click on the heart icon (Add to Wishlist)
6. Observe system behavior
7. Check if login prompt or authentication message is displayed
8. Verify user is not able to add product to Wishlist without login</t>
  </si>
  <si>
    <t>Any available product (e.g., Apple Cinema 30", MacBook, etc.)</t>
  </si>
  <si>
    <t>User should be prompted to login when trying to add a product to Wishlist without authentication
System should prevent adding product to Wishlist for guest users
Clear authentication/login message should be displayed</t>
  </si>
  <si>
    <t>When the user tries to add a product to the Wishlist without being logged in, the page automatically scrolls to the top. A notification message is then displayed stating: "You must login or create an account to save Apple Cinema 30" to your wish list!" The product is not added to the Wishlist, and the user is prompted to authenticate before performing the action.</t>
  </si>
  <si>
    <t>OC_WISHLIST_TC_272</t>
  </si>
  <si>
    <t>Verify Continue button navigation behavior in Wishlist for empty and populated states</t>
  </si>
  <si>
    <t>Website is opened on desktop
Website is fully loaded
User is logged in successfully
User has access to Wishlist page</t>
  </si>
  <si>
    <t>1. Open the website
2. Login with valid credentials
3. Navigate to Wishlist page
4. Check Wishlist when it is empty
5. Verify presence of "Continue" button and empty state message
6. Click on "Continue" button
7. Observe navigation behavior
8. Add at least one product to Wishlist
9. Navigate again to Wishlist page (populated state)
10. Click on "Continue" button again
11. Observe navigation behavior</t>
  </si>
  <si>
    <t>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t>
  </si>
  <si>
    <t>When the user clicks on the "Continue" button in the Wishlist page, regardless of whether the Wishlist is empty or populated, the system redirects the user to the Login page instead of the Home / Products page.</t>
  </si>
  <si>
    <t>OC_WISHLIST_BUG_003</t>
  </si>
  <si>
    <t>OC_WISHLIST_TC_273</t>
  </si>
  <si>
    <t>Verify breadcrumb structure correctness on Wishlist page</t>
  </si>
  <si>
    <t>Navigation Testing</t>
  </si>
  <si>
    <t>1. Open the website
2. Login with valid credentials
3. Navigate to Wishlist page
4. Observe breadcrumb structure at the top of the page
5. Verify breadcrumb elements are displayed correctly
6. Click on each breadcrumb item (if clickable)
7. Verify navigation behavior for each level</t>
  </si>
  <si>
    <t>Breadcrumb should reflect the actual navigation flow used by the user.
Example: Home &gt; Desktops &gt; Wishlist</t>
  </si>
  <si>
    <t>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</si>
  <si>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OC_WISHLIST_BUG_004</t>
  </si>
  <si>
    <t>OC_WISHLIST_TC_274</t>
  </si>
  <si>
    <t>Verify adding product to Cart from Wishlist using Continue button</t>
  </si>
  <si>
    <t>Website is opened on desktop
Website is fully loaded
User is logged in successfully
Wishlist contains at least one product</t>
  </si>
  <si>
    <t>1. Open the website
2. Login with valid credentials
3. Navigate to Wishlist page
4. Verify that at least one product exists in Wishlist
5. Locate the "Shop" or "Add to Cart" button for a product
6. Click on the "Shop" button
7. Navigate to Cart page
8. Verify that the product is added successfully to Cart</t>
  </si>
  <si>
    <t>Any product already added to Wishlist (e.g., iPhone 15, MacBook, Apple Cinema 30")</t>
  </si>
  <si>
    <t>When the user clicks on the Shop button for a product in Wishlist, the product is successfully added to the Cart. The user is redirected to the Cart page, and the product appears correctly without any errors.</t>
  </si>
  <si>
    <t>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</si>
  <si>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OC_WISHLIST_BUG_005</t>
  </si>
  <si>
    <t>OC_WISHLIST_TC_275</t>
  </si>
  <si>
    <t>Verify consistent Cart behavior when adding products from Wishlist</t>
  </si>
  <si>
    <t>Integration Testing</t>
  </si>
  <si>
    <t>1. Open the website
2. Login with valid credentials
3. Navigate to Wishlist page
4. Verify products are displayed in Wishlist
5. Click on "Add to Cart" / "Cart" button for a product
6. Observe system behavior
7. Verify whether product is added to Cart successfully
8. Repeat the action for multiple products to check consistency</t>
  </si>
  <si>
    <t>Products in Wishlist (e.g., HP LP3065, iPhone 15, MacBook)</t>
  </si>
  <si>
    <t>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t>
  </si>
  <si>
    <t>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</si>
  <si>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OC_WISHLIST_BUG_006</t>
  </si>
  <si>
    <t>OC_WISHLIST_TC_276</t>
  </si>
  <si>
    <t>Verify Cart counter consistency with actual cart items</t>
  </si>
  <si>
    <t>Functional / UI Testing</t>
  </si>
  <si>
    <t>Application / website is opened on desktop
Website is fully loaded
User is logged in successfully
User has access to Wishlist and Cart
Cart may be empty or contain items</t>
  </si>
  <si>
    <t>1. Login with valid credentials
2. Add one or more products to Cart (from Wishlist or product page)
3. Observe Cart icon counter value
4. Navigate to Cart page
5. Verify number of items displayed in Cart
6. Compare Cart counter with actual items in Cart
7. Add/remove items and recheck counter consistency</t>
  </si>
  <si>
    <t>Products such as:
Canon EOS 5D
Apple Cinema 30"
HP LP3065</t>
  </si>
  <si>
    <t>Cart counter should accurately reflect the number of items in the Cart
Any addition or removal of items should update the counter immediately
Cart page item count should match the Cart icon counter
No mismatch should exist between UI counter and actual cart contents</t>
  </si>
  <si>
    <t>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</si>
  <si>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OC_WISHLIST_BUG_007</t>
  </si>
  <si>
    <t>OC_WISHLIST_TC_277</t>
  </si>
  <si>
    <t>Verify Cart items persistence after adding from Wishlist without unexpected removal</t>
  </si>
  <si>
    <t>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t>
  </si>
  <si>
    <t>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</si>
  <si>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OC_WISHLIST_BUG_008</t>
  </si>
  <si>
    <t>OC_WISHLIST_TC_278</t>
  </si>
  <si>
    <t>Verify Wishlist counter updates correctly after adding and removing items</t>
  </si>
  <si>
    <t>Website is opened on desktop
Website is fully loaded
User is logged in successfully
User has access to Wishlist page
At least one product is available in product list</t>
  </si>
  <si>
    <t>1. Open the website
2. Login with valid credentials
3. Add a product to Wishlist
4. Observe Wishlist counter value
5. Add additional products to Wishlist
6. Verify counter increases accordingly
7. Remove a product from Wishlist
8. Verify counter decreases correctly
9. Refresh the page
10. Verify counter consistency after refresh</t>
  </si>
  <si>
    <t>Products such as:
iPhone 15
MacBook
Apple Cinema 30"</t>
  </si>
  <si>
    <t>Wishlist counter should increase when items are added
Wishlist counter should decrease when items are removed
Counter should always reflect the exact number of items in Wishlist
Counter value should remain consistent after page refresh
No mismatch should exist between UI counter and actual Wishlist items</t>
  </si>
  <si>
    <t>When the user clicks the "X" icon next to a product in the Wishlist, the product is successfully removed from the Wishlist. However, there is a noticeable delay between the click action and the item being removed from the list, but the removal eventually happens correctly. Additionally, the Wishlist counter is not always updated correctly when adding or removing items. In some cases, the counter remains unchanged immediately after the action, and after refreshing the page, it may show inconsistent values compared to the actual number of items in the Wishlist.</t>
  </si>
  <si>
    <t>OC_WISHLIST_TC_279</t>
  </si>
  <si>
    <t>Verify product removal from Wishlist using delete (X) button updates UI correctly</t>
  </si>
  <si>
    <t>1. Open the website
2. Login with valid credentials
3. Navigate to Wishlist page
4. Verify products are displayed in Wishlist
5. Click on the delete (X) button next to a product
6. Observe UI update after deletion
7. Verify product is removed from Wishlist
8. Check Wishlist counter update (if available)</t>
  </si>
  <si>
    <t>Product should be removed successfully from Wishlist when clicking the (X) button
UI should update immediately after deletion without delay
Wishlist counter should update correctly
Removed product should not reappear after page refresh
No inconsistencies should exist between UI and actual Wishlist data</t>
  </si>
  <si>
    <t>When the user clicks on the delete (X) icon next to a product in the Wishlist, the product is successfully removed from the Wishlist. The Wishlist counter is updated correctly and decreases by one immediately after the deletion action.</t>
  </si>
  <si>
    <t>OC_WISHLIST_TC_280</t>
  </si>
  <si>
    <t>Verify clickable functionality of Wishlist items and navigation to Product Details page</t>
  </si>
  <si>
    <t>1. Open the website
2. Login with valid credentials
3. Navigate to Wishlist page
4. Verify products are displayed in Wishlist
5. Click on a Wishlist item (product image or name)
6. Observe navigation behavior
7. Verify user is redirected to Product Details page
8. Confirm correct product details are displayed</t>
  </si>
  <si>
    <t>Wishlist items should be clickable
Clicking on a Wishlist item should navigate the user to the correct Product Details page
Correct product information should be displayed
No broken navigation or incorrect redirection should occur</t>
  </si>
  <si>
    <t>Not all areas of the Wishlist item are clickable. The item does not visually indicate that it is clickable (no pointer change or clear UI cue). However, clicking on the product image only redirects the user to the Product Details page successfully, while other areas of the item are not interactive.</t>
  </si>
  <si>
    <t>OC_WISHLIST_TC_281</t>
  </si>
  <si>
    <t>Verify browser back navigation from Product Details to Wishlist page</t>
  </si>
  <si>
    <t>1. Open the website
2. Login with valid credentials
3. Navigate to Wishlist page
4. Click on a Wishlist item to open Product Details page
5. Verify Product Details page is displayed correctly
6. Use browser back button
7. Observe navigation behavior
8. Verify user is redirected back to Wishlist page</t>
  </si>
  <si>
    <t>User should be able to navigate back from Product Details page to Wishlist page using browser back button
Wishlist page should retain its state correctly
No page reload issues or broken navigation should occur
User should return to the exact previous Wishlist view</t>
  </si>
  <si>
    <t>When the user clicks the browser back button from the Product Details page, the system navigates back to the Wishlist page correctly without any issues.</t>
  </si>
  <si>
    <t>OC_WISHLIST_TC_282</t>
  </si>
  <si>
    <t>Verify Wishlist behavior when adding more than 15 items</t>
  </si>
  <si>
    <t>Boundary Testing</t>
  </si>
  <si>
    <t>Website is opened on desktop
Website is fully loaded
User is logged in successfully
Multiple products are available in the product list</t>
  </si>
  <si>
    <t>1. Open the website
2. Login with valid credentials
3. Navigate through different product categories
4. Add products to Wishlist one by one
5. Continue adding items until the Wishlist contains more than 15 products
6. Observe Wishlist behavior after each addition
7. Navigate to Wishlist page
8. Verify all added items are displayed correctly
9. Verify Wishlist counter accuracy
10. Refresh the page and recheck Wishlist contents</t>
  </si>
  <si>
    <t>More than 15 different products such as:
Canon EOS 5D
Apple Cinema 30"
HP LP3065
MacBook
iPhone 15</t>
  </si>
  <si>
    <t>User should be able to add more than 15 items to Wishlist successfully
All products should appear correctly in the Wishlist
Wishlist counter should reflect the correct number of items
No UI overlap, layout issues, duplication, or performance problems should occur
Wishlist functionality should remain stable after refresh</t>
  </si>
  <si>
    <t>When the user adds more than 16 items to the Wishlist, the system accepts all items successfully without any issues. The Wishlist counter updates correctly, and no duplicate products are displayed in the Wishlist.</t>
  </si>
  <si>
    <t>OC_WISHLIST_TC_283</t>
  </si>
  <si>
    <t>Verify direct Wishlist URL access for authenticated users</t>
  </si>
  <si>
    <t>Website is opened on desktop
Website is fully loaded
User is logged in successfully
User has at least one product in Wishlist</t>
  </si>
  <si>
    <t>1. Open the website
2. Login with valid credentials
3. Copy the Wishlist page URL
4. Open a new browser tab
5. Paste the Wishlist URL directly into the address bar
6. Press Enter
7. Observe system behavior</t>
  </si>
  <si>
    <t>Valid Wishlist page URL</t>
  </si>
  <si>
    <t>If the user is logged in, the system should allow direct access to the Wishlist page through the URL, and the correct Wishlist items should be displayed without unnecessary redirection.
If the user is not logged in, the system should prevent unauthorized access to the Wishlist page and redirect the user to the Login page or display an authentication required message.</t>
  </si>
  <si>
    <t>When the user opens the Wishlist URL while logged in, the system successfully displays the Wishlist page and allows access to the saved Wishlist items. After logging out, reopening the same URL redirects the user to the Login page and requires authentication before accessing the Wishlist.</t>
  </si>
  <si>
    <t>OC_WISHLIST_TC_284</t>
  </si>
  <si>
    <t>Verify Wishlist items are displayed in reverse chronological order (latest first)</t>
  </si>
  <si>
    <t>User is logged in
Wishlist is accessible
Multiple products are available</t>
  </si>
  <si>
    <t>1. Open the website
2. Login with valid credentials
3. Add Product A to Wishlist
4. Add Product B to Wishlist
5. Add Product C to Wishlist
6. Navigate to Wishlist page
7. Observe the order of items</t>
  </si>
  <si>
    <t>Product A: Canon EOS 5D
Product B: Apple Cinema 30"
Product C: HP LP3065</t>
  </si>
  <si>
    <t>Latest added product should appear at the top of the Wishlist
Older products should appear below in correct order (LIFO display)
Order should remain consistent after refresh</t>
  </si>
  <si>
    <t>OC_WISHLIST_TC_285</t>
  </si>
  <si>
    <t>Verify Wishlist layout responsiveness on mobile devices</t>
  </si>
  <si>
    <t>Responsive UI</t>
  </si>
  <si>
    <t>User is logged in
Wishlist contains at least 1 item
Device or browser is in mobile view (responsive mode enabled)</t>
  </si>
  <si>
    <t>1. Enable mobile view (DevTools or real device)
2. Navigate to Wishlist page
3. Observe layout and item display</t>
  </si>
  <si>
    <t>Any valid wishlist items (products with image, title, price)</t>
  </si>
  <si>
    <t>All Wishlist elements are visible
No overlapping or cut-off UI
Product cards are properly aligned
Text and images scale correctly</t>
  </si>
  <si>
    <t>In mobile view (real phone / proper mobile mode):
No overlapping
BUT horizontal scroll appears (left/right movement)
In desktop mode inside mobile simulation:
UI overlaps appear (overflow issue)</t>
  </si>
  <si>
    <t>OC_WISHLIST_BUG_009</t>
  </si>
  <si>
    <t>OC_WISHLIST_TC_286</t>
  </si>
  <si>
    <t>Verify Wishlist counter visibility on small screens</t>
  </si>
  <si>
    <t>User is logged in
Wishlist icon is available in the header
Mobile view or small screen resolution is enabled</t>
  </si>
  <si>
    <t>1. Open the application in mobile resolution
2. Navigate to any page containing the Wishlist icon
3. Observe the Wishlist counter appearance
4. Check the counter alignment and readability</t>
  </si>
  <si>
    <t>Wishlist with 0 items
Wishlist with multiple items</t>
  </si>
  <si>
    <t>Wishlist counter is clearly visible
Counter number is readable
Counter is properly aligned with the Wishlist icon
No overlapping or UI distortion appears on small screens</t>
  </si>
  <si>
    <t>Only the Wishlist icon is visible
The Wishlist counter is not displayed beside the icon
There is no visible indication of the number of Wishlist items
The issue occurs on:
Real mobile devices
Laptop browser in mobile responsive mode
Desktop mode inside mobile simulation</t>
  </si>
  <si>
    <t>OC_WISHLIST_BUG_010</t>
  </si>
  <si>
    <t>OC_WISHLIST_TC_287</t>
  </si>
  <si>
    <t>Verify Wishlist buttons responsiveness on tablet view</t>
  </si>
  <si>
    <t>User is logged in
Tablet view is enabled
Wishlist contains items</t>
  </si>
  <si>
    <t>1. Open the application in tablet resolution
2. Navigate to the Wishlist page
3. Observe Add to Wishlist, Remove, and Shop buttons
4. Try clicking all buttons</t>
  </si>
  <si>
    <t>Valid Wishlist products</t>
  </si>
  <si>
    <t>Buttons are clearly visible
Buttons are properly aligned
Buttons are clickable and responsive
No overlapping or layout distortion occurs</t>
  </si>
  <si>
    <t>In tablet view, only icons are visible without labels
Inside Wishlist page:
Remove (X) and Cart buttons have overlapping issues
One button is larger than the other
Cart button is now clickable and working (previously it was not functional)</t>
  </si>
  <si>
    <t>OC_WISHLIST_BUG_011</t>
  </si>
  <si>
    <t>OC_WISHLIST_TC_288</t>
  </si>
  <si>
    <t>Verify Wishlist scrolling behavior and UI stability in mobile scroll and landscape mode</t>
  </si>
  <si>
    <t>Responsive UI / UX</t>
  </si>
  <si>
    <t>UI / UX / Responsive Testing</t>
  </si>
  <si>
    <t>User is logged in
Wishlist contains multiple products (10+ items recommended)
Mobile view or real mobile device is available</t>
  </si>
  <si>
    <t>1. Open the application
2. Navigate to Wishlist page
3. Scroll down through the list of items
4. Scroll back up
5. Rotate device to landscape mode (or simulate in DevTools)
6. Repeat scrolling in landscape mode
7. Observe UI behavior during scrolling in both orientations</t>
  </si>
  <si>
    <t>10+ Wishlist items (products with image, title, price, and buttons)</t>
  </si>
  <si>
    <t>Smooth scrolling in both portrait and landscape modes
No UI jitter or flickering during scroll
No horizontal scrolling (no left/right movement)
All items remain properly aligned while scrolling
UI remains stable when switching orientation
No layout break or overlapping elements</t>
  </si>
  <si>
    <t>Scrolling is smooth in both portrait and landscape modes
No UI overlapping is observed during scrolling
Layout remains stable after device rotation (orientation change)
No horizontal scroll or layout break detected
Wishlist page elements are properly aligned in both orientations</t>
  </si>
  <si>
    <t>OC_WISHLIST_TC_289</t>
  </si>
  <si>
    <t>Verify breadcrumb structure and responsiveness across devices and browsers</t>
  </si>
  <si>
    <t>UI Responsiveness</t>
  </si>
  <si>
    <t>User is logged in
Application is accessible on multiple devices/browsers
User can navigate to Wishlist and Product pages</t>
  </si>
  <si>
    <t>1. Open the Website on mobile view
2. Navigate to Wishlist page
3. Observe breadcrumb structure
4. Repeat the same steps on:
   - Tablet view
   - Desktop view
5. Open the same page on different browsers (Chrome / Firefox / Edge)
6. Compare breadcrumb behavior across all environments</t>
  </si>
  <si>
    <t>Any valid navigation path:
Home → Category → Subcategory → Wishlist/Product</t>
  </si>
  <si>
    <t>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t>
  </si>
  <si>
    <t>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</si>
  <si>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OC_WISHLIST_BUG_012</t>
  </si>
  <si>
    <t>OC_WISHLIST_TC_290</t>
  </si>
  <si>
    <t>Verify Wishlist notifications and feedback messages display correctly across devices and browsers</t>
  </si>
  <si>
    <t>User is logged in
Application is accessible on multiple devices and browsers
Wishlist feature is available and functional
User can add/remove items from Wishlist</t>
  </si>
  <si>
    <t>1. Open the application on mobile view
2. Add a product to Wishlist
3. Observe notification/feedback message
4. Remove a product from Wishlist and observe message again
5. Repeat the same actions on:
   - Desktop view
   - Tablet view
6. Repeat testing on different browsers:
   - Chrome
   - Firefox
   - Edge</t>
  </si>
  <si>
    <t>Any valid product that can be added/removed from Wishlist</t>
  </si>
  <si>
    <t>Notification/feedback messages are displayed correctly after each action
Messages are fully visible and not cut off on all screen sizes
No overlapping with other UI elements
Consistent behavior across all browsers
Message content is clear and correctly reflects the action (add/remove/duplicate item)</t>
  </si>
  <si>
    <t>Notifications and feedback messages are displayed correctly on mobile devices
Notifications are also displayed correctly on Microsoft Edge browser (same behavior as Chrome)
Messages are fully visible, readable, and properly aligned
No UI issues or inconsistencies observed across tested environments</t>
  </si>
  <si>
    <t>Not Applicable</t>
  </si>
  <si>
    <t>OC_WISHLIST_TC_291</t>
  </si>
  <si>
    <t>Verify Wishlist functionality and Cart integration across multiple browsers</t>
  </si>
  <si>
    <t>User is logged in
Wishlist feature is available
Cart feature is available
Application is accessible on multiple browsers</t>
  </si>
  <si>
    <t>1. Open the application on Google Chrome
2. Add a product to Wishlist
3. From Wishlist, click on Cart / Shop button
4. Verify product is added to Cart
5. Repeat the same steps on:
   - Microsoft Edge
   - Mozilla Firefox
   - Safari (if available)
   - Opera (if available)
6. Compare behavior across browsers</t>
  </si>
  <si>
    <t>Any valid product available in Wishlist</t>
  </si>
  <si>
    <t>Wishlist functionality works correctly in all browsers
Product can be successfully added from Wishlist to Cart
Cart updates correctly after adding product
No UI or functional differences between browsers
No broken navigation or missing actions in any browser</t>
  </si>
  <si>
    <t>Wishlist functionality and Cart integration work consistently across Chrome, Edge, and mobile devices
Products are successfully added from Wishlist to Cart in all tested browsers
Cart updates correctly after adding items
Behavior is now consistent across browsers and devices (Chrome, Edge, Mobile)</t>
  </si>
  <si>
    <t>OC_WISHLIST_TC_292</t>
  </si>
  <si>
    <t>Verify Wishlist session persistence and authentication behavior across user states</t>
  </si>
  <si>
    <t>Session Management</t>
  </si>
  <si>
    <t>Application is accessible
User account exists
Wishlist feature is available
Browser supports login session handling</t>
  </si>
  <si>
    <t>1. Logged-in user flow:
   - Login to the application
   - Add products to Wishlist
   - Refresh the page
   - Navigate away and return to Wishlist
2. Guest user flow:
   - Logout from the application
   - Try to add a product to Wishlist
   - Observe system behavior
3. Session expired flow:
   - Login to the application
   - Leave session idle (or simulate expiration)
   - Try to open Wishlist page again</t>
  </si>
  <si>
    <t>Valid user account credentials
Any available product</t>
  </si>
  <si>
    <t>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t>
  </si>
  <si>
    <t>When user is logged in: Wishlist works normally
After logout: User is still able to click "Add to Wishlist" and counter increases
BUT when opening Wishlist page: User is redirected to login page
After login again: Previously added items appear</t>
  </si>
  <si>
    <t>OC_WISHLIST_BUG_013</t>
  </si>
  <si>
    <t>OC_WISHLIST_TC_293</t>
  </si>
  <si>
    <t>Verify Wishlist data persistence, duplication handling, and state consistency</t>
  </si>
  <si>
    <t>Data Management</t>
  </si>
  <si>
    <t>Data Integrity Testing</t>
  </si>
  <si>
    <t>User is logged in
Wishlist feature is available
At least one product exists in the system</t>
  </si>
  <si>
    <t>1. Data Persistence:
   - Login to the application
   - Add multiple products to Wishlist
   - Refresh the page
   - Close and reopen the browser
   - Re-login to the application
2. Duplication Handling:
   - Try adding the same product multiple times to Wishlist
   - Observe Wishlist list and counter behavior
3. State Consistency:
   - Add items to Wishlist while logged in
   - Logout from the application
   - Login again with the same user
   - Observe Wishlist data consistency</t>
  </si>
  <si>
    <t>2–5 valid products
Same product added multiple times for duplicate test</t>
  </si>
  <si>
    <t>Data Persistence: Wishlist items remain saved after refresh and relogin
Duplication Handling: Same product is not added multiple times; Wishlist counter does not increase incorrectly
State Consistency: Wishlist data remains consistent before and after logout/login; No mismatch between UI counter and actual list</t>
  </si>
  <si>
    <t>1. Data Persistence (Refresh / Browser restart):
Wishlist contains 5 products initially
After refreshing the page and reopening Chrome: User is redirected to login page again; Previous session is not maintained
2. Duplicate Handling:
User tries to add a product that already exists in Wishlist
The product is not duplicated in the list; Wishlist counter does not increase; No duplicate entry is created
3. State Consistency (Logout/Login):
After logging out and logging in again: The same previously added Wishlist items are displayed correctly; Wishlist data is restored successfully for the user</t>
  </si>
  <si>
    <t>OC_CURR_TC_294</t>
  </si>
  <si>
    <t>Verify the currency selector is clickable and responsive to user interaction</t>
  </si>
  <si>
    <t>Currency Selector</t>
  </si>
  <si>
    <t>User is on a page that contains currency selector
Page is fully loaded</t>
  </si>
  <si>
    <t>1. Locate the currency selector dropdown/button
2. Click on the currency selector
3. Observe if dropdown/options are displayed
4. Select any currency option
5. Verify UI responds to selection</t>
  </si>
  <si>
    <t>Currency options: USD, EUR, EGP</t>
  </si>
  <si>
    <t>Currency selector is clickable without delay
Dropdown opens successfully on click
User can select a currency
UI responds immediately to the selected currency</t>
  </si>
  <si>
    <t>Currency selector opened successfully
User was able to select a currency
UI updated correctly with selected currency</t>
  </si>
  <si>
    <t>OC_CURR_TC_295</t>
  </si>
  <si>
    <t>Verify selected currency symbol is displayed next to the "Currency" label in the header after selection</t>
  </si>
  <si>
    <t>User is on a page that has a header with Currency label
Currency selector is available
Page is fully loaded</t>
  </si>
  <si>
    <t>1. Click on the currency selector in the header
2. Select any currency (e.g., USD / EUR / EGP)
3. Observe the header after selection</t>
  </si>
  <si>
    <t>Selected currency is successfully applied
Currency symbol (e.g., $, €, E£) is displayed next to the "Currency" label in the header
Header reflects the updated selection immediately</t>
  </si>
  <si>
    <t>Selected currency symbol ($) is displayed next to "Currency" label in header
Header updated successfully after selection</t>
  </si>
  <si>
    <t>OC_CURR_TC_296</t>
  </si>
  <si>
    <t>Verify hover effect is applied correctly on the currency selector in the header</t>
  </si>
  <si>
    <t>User is on a page that contains a header with currency selector
Page is fully loaded
User is using a device that supports hover (Desktop browser)</t>
  </si>
  <si>
    <t>1. Open the website on desktop browser
2. Navigate to header section
3. Move mouse cursor over the currency selector
4. Observe UI behavior on hover
5. Move cursor away and observe state reset</t>
  </si>
  <si>
    <t>Hover effect is applied when mouse is over currency selector
Visual change occurs (e.g. color change, highlight, pointer cursor, underline, etc.)
Effect is removed when mouse leaves the element
No UI glitches or layout shift occurs</t>
  </si>
  <si>
    <t>On hovering over the currency selector in the header, the currency text, icon, and dropdown area change to a darker color as per UI design.
Hover effect is applied successfully and removed when mouse leaves the element.
No UI issues or layout shifts observed.</t>
  </si>
  <si>
    <t>OC_CURR_TC_297</t>
  </si>
  <si>
    <t>Verify auto-selection of default currency on first app launch based on user location without manual selection</t>
  </si>
  <si>
    <t>Localization</t>
  </si>
  <si>
    <t>User is launching the app for the first time
No previously saved currency preference exists
Location services (or region detection) is enabled</t>
  </si>
  <si>
    <t>1. Clear app data or install the app for the first time
2. Launch the application
3. Allow location permission (if prompted)
4. Observe the default currency displayed in the app</t>
  </si>
  <si>
    <t>User location: Egypt / USA / EU (depending on simulation)</t>
  </si>
  <si>
    <t>App detects user location successfully
Default currency is automatically selected based on region
Example: EGP for Egypt, USD for USA, EUR for Europe
No manual selection is required on first launch
Selected currency is displayed correctly across the UI</t>
  </si>
  <si>
    <t>After deleting site data / cache and reopening the website, the previously selected currency (e.g. EUR) is still displayed.
The application does not reset to a default currency based on user location on first launch.
No fallback default currency is applied; instead, the last selected currency is retained.</t>
  </si>
  <si>
    <t>OC_CURR_TC_298</t>
  </si>
  <si>
    <t>Verify product prices update according to the selected currency when navigating through main categories and subcategories</t>
  </si>
  <si>
    <t>Product Listing</t>
  </si>
  <si>
    <t>User is on the website
Currency selector is available
Products exist in multiple categories and subcategories</t>
  </si>
  <si>
    <t>1. Select a currency (e.g. USD / EUR / EGP)
2. Navigate to a main category (e.g. Electronics)
3. Open a subcategory (e.g. Mobiles)
4. Observe product prices in listing page
5. Navigate back and switch to another category
6. Verify prices remain consistent with selected currency</t>
  </si>
  <si>
    <t>Currency: USD / EUR / EGP
Categories: Main category + Subcategory</t>
  </si>
  <si>
    <t>All product prices are displayed in the selected currency
Currency symbol updates correctly next to prices
Prices remain consistent across navigation between categories and subcategories
No fallback to default currency occurs</t>
  </si>
  <si>
    <t>On desktop view, when navigating to a subcategory and changing the currency from the header, product prices are updated successfully according to the selected currency.
Product prices are updated in real time and reflected consistently across all visible products within the subcategory page.</t>
  </si>
  <si>
    <t>OC_CURR_TC_299</t>
  </si>
  <si>
    <t>Verify all product prices on the main page are updated according to the selected currency</t>
  </si>
  <si>
    <t>User is on the main (home) page
Currency selector is available
Products are displayed on the home page</t>
  </si>
  <si>
    <t>1. Open the website home page
2. Select a currency from the currency selector (e.g. USD / EUR / EGP)
3. Observe all product prices on the main page</t>
  </si>
  <si>
    <t>Currency: USD / EUR / EGP</t>
  </si>
  <si>
    <t>All product prices on the main page are updated according to the selected currency
Currency symbol is displayed correctly next to all prices
Prices remain consistent after page refresh
No fallback to default currency occurs</t>
  </si>
  <si>
    <t>When selecting any currency (EUR, USD, or EGP) on the main page, all product prices are updated successfully according to the selected currency.
Prices are displayed in the chosen currency across all visible products.
Currency change is reflected immediately on the UI without page reload.</t>
  </si>
  <si>
    <t>OC_CURR_TC_300</t>
  </si>
  <si>
    <t>Verify product prices in the wishlist are displayed according to the selected currency (Euro, USD, or EGP)</t>
  </si>
  <si>
    <t>User is logged in
User has products added to wishlist
Currency selector is available</t>
  </si>
  <si>
    <t>1. Open the wishlist page
2. Select a currency from the currency selector (e.g. USD / EUR / EGP)
3. Observe product prices in the wishlist
4. Navigate between wishlist items (if applicable)
5. Verify prices remain consistent with selected currency</t>
  </si>
  <si>
    <t>Currency: USD / EUR / EGP
Wishlist contains at least 2–3 products</t>
  </si>
  <si>
    <t>All product prices in the wishlist are updated according to the selected currency
Currency symbol is displayed correctly next to each price
Prices remain consistent across all wishlist items
No fallback to default currency occurs</t>
  </si>
  <si>
    <t>Products displayed in the wishlist show their prices correctly.
When the user changes the currency, all wishlist product prices are updated accordingly.
The selected currency is reflected consistently across the wishlist page.
When navigating to the product details page from the wishlist, the selected currency is also applied and displayed correctly.
Currency state is maintained across navigation between wishlist and product details.</t>
  </si>
  <si>
    <t>OC_CURR_TC_301</t>
  </si>
  <si>
    <t>Verify product prices in the shopping cart are updated according to the selected currency</t>
  </si>
  <si>
    <t>Shopping Cart</t>
  </si>
  <si>
    <t>User has products added to the shopping cart
Currency selector is available
User is on the shopping cart page</t>
  </si>
  <si>
    <t>1. Open the shopping cart page
2. Select a currency from the currency selector (e.g. USD / EUR / EGP)
3. Observe product prices in the shopping cart
4. Verify subtotal and total amounts
5. Navigate to a product details page from the cart and verify currency consistency</t>
  </si>
  <si>
    <t>Currency: USD / EUR / EGP
Cart contains at least 2 products</t>
  </si>
  <si>
    <t>All product prices in the shopping cart are updated according to the selected currency
Currency symbols are displayed correctly next to prices
Subtotal and total amounts are recalculated and displayed in the selected currency
Selected currency remains consistent across cart and product details pages</t>
  </si>
  <si>
    <t>When navigating to the shopping cart page containing products and changing the currency (from EGP to EUR or from EUR to USD), all product prices in the cart are updated successfully according to the selected currency.
Currency symbols and product prices are reflected correctly after each currency change.
Updated currency is applied consistently across all products in the shopping cart.</t>
  </si>
  <si>
    <t>OC_CURR_TC_302</t>
  </si>
  <si>
    <t>Verify that the selected currency is consistently displayed for all products in the checkout page</t>
  </si>
  <si>
    <t>Checkout</t>
  </si>
  <si>
    <t>User has products added to the shopping cart
User proceeds to checkout page
Currency selector is available and functional</t>
  </si>
  <si>
    <t>1. Add products to the shopping cart
2. Navigate to the checkout page
3. Select a currency (e.g. USD / EUR / EGP)
4. Observe all product prices in the checkout page
5. Verify subtotal, shipping cost, and total amount</t>
  </si>
  <si>
    <t>Currency: USD / EUR / EGP
Checkout contains at least 2 products</t>
  </si>
  <si>
    <t>All product prices on the checkout page are displayed in the selected currency
Currency symbols are shown correctly for all amounts
Subtotal, shipping, and total values are updated consistently according to the selected currency
No inconsistent or mixed currencies appear on the checkout page</t>
  </si>
  <si>
    <t>OC_CURR_TC_303</t>
  </si>
  <si>
    <t>Verify that the currency displayed in the cart items container reflects the selected currency for the total price of products</t>
  </si>
  <si>
    <t>User has products added to the shopping cart
Currency selector is available
Shopping cart page is accessible</t>
  </si>
  <si>
    <t>1. Open the shopping cart page
2. Select a currency from the currency selector (e.g. USD / EUR / EGP)
3. Observe the cart items container
4. Verify the total price displayed for all products
5. Change the currency again and observe updated totals</t>
  </si>
  <si>
    <t>Currency: USD / EUR / EGP
Cart contains multiple products</t>
  </si>
  <si>
    <t>The currency displayed in the cart items container matches the selected currency
Total product price is updated correctly according to the selected currency
Currency symbol is displayed correctly for all totals and product prices
No mismatch occurs between item prices and total amount currency</t>
  </si>
  <si>
    <t>When changing the currency to any available option, the currency displayed in the cart items container is updated successfully according to the selected currency.
Total product prices and displayed currency symbols are reflected correctly after each currency change.
The selected currency is applied consistently within the cart container.</t>
  </si>
  <si>
    <t>OC_CURR_TC_304</t>
  </si>
  <si>
    <t>Verify that the header containing the currency selector is displayed and clickable across all pages</t>
  </si>
  <si>
    <t>Header</t>
  </si>
  <si>
    <t>Website is accessible
Header section is available on all pages</t>
  </si>
  <si>
    <t>1. Open the home page
2. Navigate through different pages (e.g. category page, product details page, wishlist, cart, checkout)
3. Observe the header on each page
4. Verify that the currency selector is visible
5. Click on the currency selector on each page</t>
  </si>
  <si>
    <t>Pages: Home, Categories, Product Details, Wishlist, Cart, Checkout</t>
  </si>
  <si>
    <t>The header is displayed correctly on all pages
Currency selector is visible and accessible on every page
Currency selector is clickable without issues
Dropdown/options open successfully on click across all pages</t>
  </si>
  <si>
    <t>The header containing the currency selector is displayed correctly across all pages.
The currency selector is visible and clickable on every tested page.
When changing the currency from any page containing products, product prices are updated successfully according to the selected currency.
The selected currency is applied consistently across all supported pages without any issue.</t>
  </si>
  <si>
    <t>OC_CURR_TC_305</t>
  </si>
  <si>
    <t>Verify accurate conversion of product prices between different currencies</t>
  </si>
  <si>
    <t>Pricing Logic</t>
  </si>
  <si>
    <t>Products have base prices (e.g. EGP)
Currency selector is available</t>
  </si>
  <si>
    <t>1. Open website on any page containing products
2. Note product price in base currency (e.g. 100 EGP)
3. Change currency to USD
4. Observe converted price
5. Change currency to EUR
6. Compare conversion values between currencies</t>
  </si>
  <si>
    <t>Example:
100 EGP → USD
100 EGP → EUR
Cross-check ratio consistency</t>
  </si>
  <si>
    <t>Product price is correctly converted based on exchange rate
Relative value consistency is maintained (no random mismatches)
Example: if 5 EUR ≈ 6 USD, proportional logic should remain consistent
No negative, duplicated, or incorrect values appear
Currency conversion is mathematically consistent across all products</t>
  </si>
  <si>
    <t>Product prices are updated successfully when switching between EUR and USD.
Currency conversion is applied consistently across all products.
Prices change proportionally according to the selected currency without inconsistencies.</t>
  </si>
  <si>
    <t>OC_CURR_TC_306</t>
  </si>
  <si>
    <t>Verify currency selector and header layout are displayed correctly across different screen sizes (mobile, tablet, desktop)</t>
  </si>
  <si>
    <t>Responsive UI Testing</t>
  </si>
  <si>
    <t>Website is accessible
Currency selector exists in the header
Responsive mode or physical devices are available for testing</t>
  </si>
  <si>
    <t>1. Open the website on desktop view
2. Verify header layout and currency selector visibility
3. Resize the screen to tablet view or use tablet device
4. Verify header layout and currency selector behavior
5. Resize the screen to mobile view or use mobile device
6. Verify header layout and currency selector behavior on mobile
7. Interact with the currency selector on each screen size</t>
  </si>
  <si>
    <t>Screen Sizes: Desktop / Tablet / Mobile
Browsers or devices supporting responsive testing</t>
  </si>
  <si>
    <t>Header layout is displayed correctly across all screen sizes
Currency selector remains visible, aligned, and accessible
No overlapping, clipping, broken layout, or UI distortion occurs
Currency selector is clickable and functional on all screen sizes</t>
  </si>
  <si>
    <t>On desktop view, the currency selector is displayed with a label ("Currency") along with the currency symbol and dropdown icon, and it is clearly visible and identifiable.
On mobile view, only the currency symbol and dropdown icon are displayed, without a clear text label indicating it is a currency selector.
The dropdown remains clickable and functional across both desktop and mobile views.
When a different currency is selected, the displayed symbol/icon updates according to the selected currency.</t>
  </si>
  <si>
    <t>OC_CURR_TC_307</t>
  </si>
  <si>
    <t>Verify currency functionality works correctly across all responsive layouts without UI breaking or overlap</t>
  </si>
  <si>
    <t>Website is accessible
Currency selector is available in header
Responsive testing environment is available (mobile, tablet, desktop)</t>
  </si>
  <si>
    <t>1. Open the website on desktop view
2. Change the currency and observe UI behavior
3. Resize screen to tablet view or switch to tablet device
4. Change currency and observe UI behavior
5. Switch to mobile view or mobile device
6. Change currency and observe UI behavior
7. Navigate between pages (home, category, cart, checkout) while changing currency</t>
  </si>
  <si>
    <t>Currencies: USD / EUR / EGP
Devices: Desktop / Tablet / Mobile</t>
  </si>
  <si>
    <t>Currency functionality works correctly across all screen sizes
Product prices update properly after currency change on all layouts
No UI breaking, overlapping, misalignment, or clipping occurs
Currency selector remains accessible and usable on all responsive views
Consistent behavior across navigation and different pages</t>
  </si>
  <si>
    <t>The currency functionality works correctly across both mobile and desktop views.
The currency selector is clickable and responsive on all screen sizes.
When selecting any currency, product prices are updated correctly across the application.
No UI issues such as overlap, breaking, or misalignment were observed.
The behavior is consistent across different responsive layouts.</t>
  </si>
  <si>
    <t>OC_CURR_TC_308</t>
  </si>
  <si>
    <t>Verify currency selector is visible and readable in both light and dark themes</t>
  </si>
  <si>
    <t>Website supports light and dark themes
Currency selector is available in header</t>
  </si>
  <si>
    <t>1. Open the website in light theme mode
2. Verify the currency selector visibility and readability
3. Switch to dark theme mode
4. Verify the currency selector visibility and readability again
5. Interact with the currency selector in both themes</t>
  </si>
  <si>
    <t>Themes: Light Mode / Dark Mode</t>
  </si>
  <si>
    <t>Currency selector is clearly visible in both light and dark themes
Text, icons, and dropdown indicators are readable and properly contrasted
No UI distortion or blending with background occurs
Currency selector remains functional in both themes</t>
  </si>
  <si>
    <t>The website does not support dark theme mode on either mobile or desktop.
The UI is displayed only in light theme regardless of system or browser theme settings.
Currency selector remains visible and functional in the available light theme.</t>
  </si>
  <si>
    <t>OC_CURR_TC_309</t>
  </si>
  <si>
    <t>Verify currency selector works correctly on Google Chrome browser</t>
  </si>
  <si>
    <t>Currency</t>
  </si>
  <si>
    <t>Application is accessible
Google Chrome browser is installed and updated
Currency selector is available in the header
Products are displayed on the website</t>
  </si>
  <si>
    <t>1. Open Google Chrome browser
2. Navigate to the website
3. Locate the currency selector in the header
4. Select a currency (e.g. USD / EUR / EGP)
5. Observe product prices on the page
6. Navigate between pages (Home, Category, Cart, Wishlist)
7. Verify currency consistency across pages</t>
  </si>
  <si>
    <t>Browser: Google Chrome (latest version)
Currency: USD / EUR / EGP</t>
  </si>
  <si>
    <t>Currency selector is visible and fully functional on Google Chrome
Currency changes are applied correctly across all product pages
Product prices update according to the selected currency
No UI issues, broken layout, or functional defects occur in Chrome
Currency consistency is maintained across navigation</t>
  </si>
  <si>
    <t>The currency selector works correctly on Google Chrome browser.
The selector is visible and clickable without any issues.
When changing the currency (e.g. USD / EUR / EGP), product prices are updated successfully across the application.
Currency changes are reflected consistently on all relevant pages.
No functional or UI issues were observed on Chrome.</t>
  </si>
  <si>
    <t>OC_CURR_TC_310</t>
  </si>
  <si>
    <t>Verify currency selector works correctly on Edge browser</t>
  </si>
  <si>
    <t>Application is accessible
Microsoft Edge browser is installed and updated
Currency selector is available in the header
Products are displayed on the website</t>
  </si>
  <si>
    <t>1. Open Microsoft Edge browser
2. Navigate to the website
3. Locate the currency selector in the header
4. Select a currency (e.g. USD / EUR / EGP)
5. Observe product prices on the page
6. Navigate between different pages (Home, Category, Cart, Wishlist, Checkout)
7. Verify that currency remains consistent across all pages</t>
  </si>
  <si>
    <t>Browser: Microsoft Edge (latest version)
Currencies: USD / EUR / EGP</t>
  </si>
  <si>
    <t>Currency selector is visible and fully functional on Microsoft Edge
Currency changes are applied correctly across all product pages
Product prices update according to the selected currency
No UI issues, layout breaking, or functional defects occur in Edge
Currency consistency is maintained across navigation</t>
  </si>
  <si>
    <t>The currency selector works correctly on Microsoft Edge browser.
It is fully functional and responsive across different pages (Home, Product Listing, Wishlist, and Cart).
Changing the currency from the Home page updates product prices successfully.
The same correct behavior is observed when changing currency from Product Listing pages on desktop.
Currency changes are also applied correctly in Wishlist and Shopping Cart pages.
No UI or functional issues were observed on Microsoft Edge.
Currency consistency is maintained across all tested pages.</t>
  </si>
  <si>
    <t>OC_CURR_TC_311</t>
  </si>
  <si>
    <t>Verify currency change reflects correctly across all pages in different browsers without inconsistencies</t>
  </si>
  <si>
    <t>Application is accessible
Currency selector is available in header
Products exist across multiple pages (Home, Category, Wishlist, Cart, Checkout)
Multiple browsers are available (Chrome, Edge, Firefox, etc.)</t>
  </si>
  <si>
    <t>1. Open the application in Google Chrome
2. Change the currency (e.g. USD / EUR / EGP)
3. Navigate across different pages and observe product prices
4. Repeat steps 1–3 in Microsoft Edge
5. Repeat steps 1–3 in another supported browser (if available)
6. Compare currency behavior across all browsers</t>
  </si>
  <si>
    <t>Browsers: Chrome, Edge, Firefox (or available browsers)
Currencies: USD / EUR / EGP</t>
  </si>
  <si>
    <t>Currency change is reflected correctly across all pages in all tested browsers
Product prices remain consistent after switching pages
No mismatched or inconsistent currency values appear between browsers
UI behavior remains consistent across browsers
No functional or layout issues occur due to browser differences</t>
  </si>
  <si>
    <t>Currency change is reflected correctly across all pages in different browsers (Chrome, Edge, etc.).
Product prices remain consistent after switching between pages and browsers.
No inconsistencies or mismatched currency values were observed.
UI and functionality behave consistently across all tested browsers.</t>
  </si>
  <si>
    <t>OC_CURR_TC_312</t>
  </si>
  <si>
    <t>Verify currency functionality behavior under different network conditions</t>
  </si>
  <si>
    <t>Application is accessible
Products are available on the site
Currency selector is available</t>
  </si>
  <si>
    <t>1. Open the website with a stable internet connection
2. Change currency (e.g. EGP → USD)
3. Verify product prices update correctly
4. Turn off internet connection (offline mode)
5. Try changing currency again
6. Restore internet connection
7. Repeat currency change</t>
  </si>
  <si>
    <t>Currencies: EGP / USD / EUR</t>
  </si>
  <si>
    <t>Currency changes correctly when internet is stable
In offline mode, system should either show cached prices OR prevent currency change with proper message
No broken UI or incorrect prices should appear after reconnecting
Data should sync correctly when internet is restored</t>
  </si>
  <si>
    <t>Under 3G network, currency switching shows noticeable delay (≈ 5–10 seconds) especially on product pages.
Under Fast 4G, currency functionality works correctly with good response time (≈ 600 ms).
Under offline mode, the application fails to load and shows the browser offline page, then recovers successfully after reconnecting.
In all cases, currency conversion works correctly and prices are updated without inconsistencies, but performance varies based on network conditions.</t>
  </si>
  <si>
    <t>OC_CURR_TC_313</t>
  </si>
  <si>
    <t>Verify currency change performance and page response time after selecting different currencies</t>
  </si>
  <si>
    <t>Website is accessible
Products are loaded on Home / Category pages
Currency selector is available
Stable network connection</t>
  </si>
  <si>
    <t>1. Open the website home page
2. Open browser DevTools (Network tab)
3. Measure initial page load time
4. Select a currency (e.g. USD)
5. Measure time taken for prices to update
6. Navigate to category page and repeat currency change
7. Repeat for Cart and Wishlist pages
8. Compare response time across pages</t>
  </si>
  <si>
    <t>Currencies: EGP / USD / EUR
Pages: Home, Category, Cart, Wishlist
Network: Normal broadband connection</t>
  </si>
  <si>
    <t>Currency change is reflected within acceptable response time (e.g. &lt; 2–3 seconds)
No noticeable lag when updating product prices
Page does not freeze or reload unexpectedly
Performance remains consistent across all pages
No degradation when switching between currencies multiple times</t>
  </si>
  <si>
    <t>On first interaction (opening and selecting currency), currency change took approximately 10 ms, which is instant and acceptable.
On subsequent currency changes, response time was around 600 ms on mobile.
A second currency change took approximately 500 ms on mobile.
On desktop view, currency change response time was around 400 ms.
No UI freezing or crashes were observed during currency switching.
Overall performance is acceptable, but slight variation in response time is observed between first and subsequent interactions and across devices.</t>
  </si>
  <si>
    <t>OC_CART_TC_314</t>
  </si>
  <si>
    <t>Verify successful order placement with valid checkout data</t>
  </si>
  <si>
    <t>Checkout / Order Placement</t>
  </si>
  <si>
    <t>Functional / E2E</t>
  </si>
  <si>
    <t>Product is added to cart
checkout page is opened
All required billing details are filled correctly
Valid payment method is available</t>
  </si>
  <si>
    <t>1.Add product to cart
2.Proceed to checkout page
3.Fill all required billing information with valid data
4.Accept Terms &amp; Conditions
5.Verify available payment method
6.Click on "Confirm Order" button</t>
  </si>
  <si>
    <t>Product: HTC Touch HD
Billing Details: Valid
Payment Method: Available valid method</t>
  </si>
  <si>
    <t>System should place the order successfully and display a confirmation message indicating successful order processing</t>
  </si>
  <si>
    <t>System successfully places the order and displays the message:
"Your order has been placed! Your order has been successfully processed!"</t>
  </si>
  <si>
    <t>Maryam Saleh</t>
  </si>
  <si>
    <t>12/04/2026</t>
  </si>
  <si>
    <t>OC_CART_TC_315</t>
  </si>
  <si>
    <t>Verify Adding Single Product to Cart from Home Page</t>
  </si>
  <si>
    <t>Cart / Home Page</t>
  </si>
  <si>
    <t>User is on Home Page</t>
  </si>
  <si>
    <t>1.Open url "https://awesomeqa.com/ui/"
2.Click on "Add to Cart" button for Product</t>
  </si>
  <si>
    <t>Product : MacBook or iPhone</t>
  </si>
  <si>
    <t>Product is added successfully to the cart and success message is displayed</t>
  </si>
  <si>
    <t>Product is added successfully to the cart</t>
  </si>
  <si>
    <t>OC_CART_TC_316</t>
  </si>
  <si>
    <t>Verify Adding (Apple Cinema 30") to cart after selecting required options</t>
  </si>
  <si>
    <t>Cart / Product Details</t>
  </si>
  <si>
    <t>1.Open url "https://awesomeqa.com/ui/"
2.Click on (Apple Cinema 30") product
3.Select required options
4.Click on "Add to Cart" button</t>
  </si>
  <si>
    <t>Product: Apple Cinema 30
Options: Select all mandatory fields (e.g., Radio = option 1, Checkbox = checked, Text = "Test")</t>
  </si>
  <si>
    <t>Product is added successfully to the cart after selecting all required options and a success message is displayed</t>
  </si>
  <si>
    <t>OC_CART_TC_317</t>
  </si>
  <si>
    <t>Verify error when adding "Apple Cinema 30" with quantity less than minimum (1)</t>
  </si>
  <si>
    <t>Negative</t>
  </si>
  <si>
    <t>User is on Product Details page</t>
  </si>
  <si>
    <t>1.Click on (Apple Cinema 30") product
2.Enter quantity = 1
3.Select required options
4.Click "Add to Cart"</t>
  </si>
  <si>
    <t>Product: Apple Cinema 30
Quantity: 1</t>
  </si>
  <si>
    <t>System should display an error message and prevent adding the product to the cart</t>
  </si>
  <si>
    <t>Product is added successfully with quantity = 1</t>
  </si>
  <si>
    <t>OC_CART_BUG_001</t>
  </si>
  <si>
    <t>OC_CART_TC_318</t>
  </si>
  <si>
    <t>Verify that "Apple Cinema 30" does not allow selecting past dates in the date field</t>
  </si>
  <si>
    <t>Product Details</t>
  </si>
  <si>
    <t>1.Open "Apple Cinema 30" product page
2.Select a past date
3.Click "Add to Cart"</t>
  </si>
  <si>
    <t>Product: Apple Cinema 30
Date: Any past date (e.g., 01/01/2020)</t>
  </si>
  <si>
    <t>System should NOT allow selecting past dates and should display validation error</t>
  </si>
  <si>
    <t>System allows selecting past dates and proceeds without validation error</t>
  </si>
  <si>
    <t>OC_CART_BUG_002</t>
  </si>
  <si>
    <t>OC_CART_TC_319</t>
  </si>
  <si>
    <t>Verify availability of required options for "Canon EOS 5D" product before adding to cart</t>
  </si>
  <si>
    <t>Functional / Negative</t>
  </si>
  <si>
    <t>1.Open "Canon EOS 5D" product
2.Open dropdown/select field
3.Click "Add to Cart"</t>
  </si>
  <si>
    <t>Product: Canon EOS 5D
Dropdown Options: ---Please Select---
Quantity: 1</t>
  </si>
  <si>
    <t>Required options should be visible and selectable before adding product to cart</t>
  </si>
  <si>
    <t>Dropdown/select field is present but no options are available, and system shows "Select required options" message</t>
  </si>
  <si>
    <t>OC_CART_BUG_003</t>
  </si>
  <si>
    <t>OC_CART_TC_320</t>
  </si>
  <si>
    <t>Verify adding "Samsung Galaxy Tab 10.1" pre-order product to cart successfully</t>
  </si>
  <si>
    <t>Menu Navigation / Product Details / Cart</t>
  </si>
  <si>
    <t>1.Click on "Tablets" from the menu bar
2.Click on "Samsung Galaxy Tab 10.1"
3.Click on "Add to Cart" button</t>
  </si>
  <si>
    <t>Category: Tablets
Product: Samsung Galaxy Tab 10.1
Availability: Pre-Order</t>
  </si>
  <si>
    <t>Product should be successfully added to the cart and remain marked as Pre-Order (if applicable)</t>
  </si>
  <si>
    <t>OC_CART_TC_321</t>
  </si>
  <si>
    <t>Verify that "iPhone" (Out of Stock) cannot be added to cart</t>
  </si>
  <si>
    <t>1.Click on "Phones &amp; PDAs" from the menu bar
2.Select "iPhone"
3.Click on "Add to Cart" button</t>
  </si>
  <si>
    <t>Category: Phones &amp; PDAs
Product: iPhone
Availability: Out of Stock</t>
  </si>
  <si>
    <t>System should NOT allow adding the product to the cart and should display an appropriate message</t>
  </si>
  <si>
    <t>Product is added to the cart but cannot proceed to checkout</t>
  </si>
  <si>
    <t>OC_CART_BUG_004</t>
  </si>
  <si>
    <t>OC_CART_TC_322</t>
  </si>
  <si>
    <t>Verify that "HP LP3065" does not allow selecting past dates in Delivery Date field</t>
  </si>
  <si>
    <t>1.Hover over "Desktops" from the menu bar
2.Click on "Show All Desktops"
3.Select "HP LP3065"
4.Locate the "Delivery Date" field
5.Open the date picker
6.Select a past date
7.Click on "Add to Cart" button</t>
  </si>
  <si>
    <t>Category: Desktops
Product: HP LP3065
Delivery Date: Any past date (e.g., 01/01/2020)</t>
  </si>
  <si>
    <t>System should prevent selecting past dates and display an appropriate validation message</t>
  </si>
  <si>
    <t>System allows selecting past dates without validation</t>
  </si>
  <si>
    <t>OC_CART_BUG_005</t>
  </si>
  <si>
    <t>OC_CART_TC_323</t>
  </si>
  <si>
    <t>Verify error message when adding "HP LP3065" to cart without selecting Delivery Date</t>
  </si>
  <si>
    <t>User is on "HP LP3065" product details page</t>
  </si>
  <si>
    <t>1.Hover over "Desktops" from the menu bar
2.Click on "Show All Desktops"
3.Select "HP LP3065"
4.Leave the "Delivery Date" field empty
5.Click on "Add to Cart" button</t>
  </si>
  <si>
    <t>Category: Desktops
Product: HP LP3065
Delivery Date: Empty</t>
  </si>
  <si>
    <t>System should display "Delivery Date required!" validation message and prevent adding the product to the cart</t>
  </si>
  <si>
    <t>"Delivery Date required!" message is displayed and product is not added to cart</t>
  </si>
  <si>
    <t>OC_CART_TC_324</t>
  </si>
  <si>
    <t>Verify adding multiple different products to cart successfully</t>
  </si>
  <si>
    <t>Cart / Home Page / Product Details</t>
  </si>
  <si>
    <t>1.Navigate to a product category from the menu bar
2.Select a product and click "Add to Cart"
3.Navigate to another product category
4.Select a different product and click "Add to Cart"
5.Repeat the process for multiple products
6.Navigate to the shopping cart page</t>
  </si>
  <si>
    <t>Category: Phones &amp; PDAs | Product: HTC Touch HD
Category: Desktops | Product: iPod Classic
Category: Desktops | Product: Palm Treo Pro</t>
  </si>
  <si>
    <t>All selected products should be added successfully to the cart with correct product details, quantities, and prices displayed</t>
  </si>
  <si>
    <t>Multiple different products are added successfully to the cart</t>
  </si>
  <si>
    <t>OC_CART_TC_325</t>
  </si>
  <si>
    <t>Verify adding the same product twice updates product quantity in cart</t>
  </si>
  <si>
    <t>1.Navigate to a product category from the menu bar
2.Select a product
3.Click on "Add to Cart" button
4.Click on "Add to Cart" button again for the same product
5.Navigate to the shopping cart page</t>
  </si>
  <si>
    <t>Category: Phones &amp; PDAs
Product: HTC Touch HD</t>
  </si>
  <si>
    <t>The system should increase the quantity of the existing product in the shopping cart to "2" instead of adding the same product as a separate item.</t>
  </si>
  <si>
    <t>Product quantity is updated successfully in the cart</t>
  </si>
  <si>
    <t>OC_CART_TC_326</t>
  </si>
  <si>
    <t>Verify cart total price calculates correctly after adding products</t>
  </si>
  <si>
    <t>Cart / Product List</t>
  </si>
  <si>
    <t>Functional / Calculation</t>
  </si>
  <si>
    <t>1.Navigate to a product category
2.Add the first product to the cart
3.Add another product to the cart
4.Navigate to the shopping cart page
5.Verify individual product prices
6.Calculate the expected total manually
7.Compare the calculated total with the displayed cart total</t>
  </si>
  <si>
    <t>Category: Desktops
Product: HTC Touch HD
Product: iPod Classic</t>
  </si>
  <si>
    <t>The cart total price should equal the sum of all added product prices</t>
  </si>
  <si>
    <t>Cart total price is calculated correctly</t>
  </si>
  <si>
    <t>OC_CART_TC_327</t>
  </si>
  <si>
    <t>Verify adding product to cart with quantity greater than 1</t>
  </si>
  <si>
    <t>Product Details / Cart</t>
  </si>
  <si>
    <t>Functional / Boundary</t>
  </si>
  <si>
    <t>User is on product details page</t>
  </si>
  <si>
    <t>1.Navigate to any available product page
2.Enter a quantity greater than "1" in the quantity field
3.Click on "Add to Cart" button
4.Navigate to the shopping cart page</t>
  </si>
  <si>
    <t>Product: MacBook
Quantity: 3</t>
  </si>
  <si>
    <t>Product should be added successfully to the cart with the entered quantity displayed correctly</t>
  </si>
  <si>
    <t>Product is added successfully with quantity = 3</t>
  </si>
  <si>
    <t>OC_CART_TC_328</t>
  </si>
  <si>
    <t>Verify System Rejects Quantity = 0</t>
  </si>
  <si>
    <t>Functional / Negative / Boundary</t>
  </si>
  <si>
    <t>1.Navigate to any available product page
2.Enter "0" in the quantity field
3.Click on "Add to Cart" button</t>
  </si>
  <si>
    <t>Product: MacBook
Quantity: 0</t>
  </si>
  <si>
    <t>System should reject quantity value "0", display an appropriate validation message, and prevent displaying a success message or adding the product to the cart</t>
  </si>
  <si>
    <t>System displays a success message even though the product is not added to the cart when quantity = 0</t>
  </si>
  <si>
    <t>OC_CART_BUG_006</t>
  </si>
  <si>
    <t>OC_CART_TC_329</t>
  </si>
  <si>
    <t>Verify System Rejects Negative Quantity</t>
  </si>
  <si>
    <t>1.Navigate to any available product page
2.Enter a negative quantity value (e.g., -1) in the quantity field
3.Click on "Add to Cart" button</t>
  </si>
  <si>
    <t>Product: MacBook
Quantity: -1</t>
  </si>
  <si>
    <t>System should reject negative quantity, display validation error message, and should NOT display success message or add product to cart</t>
  </si>
  <si>
    <t>System does not add product to cart but incorrectly displays success message</t>
  </si>
  <si>
    <t>OC_CART_BUG_007</t>
  </si>
  <si>
    <t>OC_CART_TC_330</t>
  </si>
  <si>
    <t>Verify system rejects alphabetic characters in quantity and does not show success message</t>
  </si>
  <si>
    <t>1.Open any product page
2.Enter alphabetic characters (e.g. "abc") in quantity field
3.Click "Add to Cart" button
4.Check cart</t>
  </si>
  <si>
    <t>Product: MacBook
Quantity: a</t>
  </si>
  <si>
    <t>System should reject alphabetic input, display a validation error message, and should NOT display a success message or add the product to the cart</t>
  </si>
  <si>
    <t>System does not add product to cart but incorrectly displays a success message</t>
  </si>
  <si>
    <t>OC_CART_BUG_008</t>
  </si>
  <si>
    <t>OC_CART_TC_331</t>
  </si>
  <si>
    <t>Verify system rejects special characters in quantity field</t>
  </si>
  <si>
    <t>1.Open any product page
2.Enter special characters (e.g. @, #, $, %, !) in the quantity field
3.Click on "Add to Cart" button
4.Check cart</t>
  </si>
  <si>
    <t>Product: MacBook
Quantity: @#</t>
  </si>
  <si>
    <t>System should reject special character input, display a validation error message, and prevent adding the product to the cart</t>
  </si>
  <si>
    <t>System does not add the product to the cart but incorrectly displays a success message</t>
  </si>
  <si>
    <t>OC_CART_BUG_009</t>
  </si>
  <si>
    <t>OC_CART_TC_332</t>
  </si>
  <si>
    <t>Verify system handles very large quantity values (maximum boundary) correctly</t>
  </si>
  <si>
    <t>1.Open any product page
2.Enter a very large quantity value (e.g. 99999 or max allowed limit if defined)
3.Click on "Add to Cart" button
4.Navigate to the shopping cart page
5.Verify quantity and total price
6.check system message</t>
  </si>
  <si>
    <t>Product: MacBook
Quantity: 9999</t>
  </si>
  <si>
    <t>System should either:
Allow the maximum valid quantity within defined limit and add it correctly to the cart
OR
Reject the input and display a proper validation message if it exceeds the allowed limit</t>
  </si>
  <si>
    <t>Product is added to cart, but at shopping cart page a message appears: "not available in the desired quantity or not in stock"</t>
  </si>
  <si>
    <t>OC_CART_BUG_010</t>
  </si>
  <si>
    <t>OC_CART_TC_333</t>
  </si>
  <si>
    <t>Verify System Handles Decimal Quantity</t>
  </si>
  <si>
    <t>1.Open any product page
2.Enter decimal value in quantity field (e.g. 1.5)
3.Click "Add to Cart" button
4.Repeat with value 1.6
5.Navigate to cart page
6.Verify final quantity displayed</t>
  </si>
  <si>
    <t>Product: MacBook
Quantity: 1.5
Quantity: 1.6</t>
  </si>
  <si>
    <t>System should either:
Reject decimal input and show validation error
OR
Clearly define and consistently apply rounding rules (e.g., always round up or down)</t>
  </si>
  <si>
    <t>System automatically rounds decimal quantity to nearest integer (1.5 → 1, 1.6 → 2) without showing error message and without any crash</t>
  </si>
  <si>
    <t>OC_CART_TC_334</t>
  </si>
  <si>
    <t>Verify Success Notification Appears After Adding Product</t>
  </si>
  <si>
    <t>Product Details / Cart / Notifications</t>
  </si>
  <si>
    <t>Functional / UI</t>
  </si>
  <si>
    <t>1.Open any product page
2.Click on "Add to Cart" button
3.Navigate to the shopping cart page to confirm product addition</t>
  </si>
  <si>
    <t>Product: MacBook</t>
  </si>
  <si>
    <t>A success notification/message should appear confirming that the product has been added to the cart successfully, and the product should be present in the cart</t>
  </si>
  <si>
    <t>Success notification appears and product is added to the cart successfully</t>
  </si>
  <si>
    <t>OC_CART_TC_335</t>
  </si>
  <si>
    <t>Verify Shopping Cart Page Accessible from Header After Adding</t>
  </si>
  <si>
    <t>Header / Cart</t>
  </si>
  <si>
    <t>1.Navigate to any product page
2.Click on "Add to Cart" button
3.Verify product is added successfully
4.Click on the shopping cart icon in the header
5.Verify the shopping cart page is displayed</t>
  </si>
  <si>
    <t>User should be able to access the shopping cart page from the header after adding a product, and the added product should be displayed correctly</t>
  </si>
  <si>
    <t>Shopping cart page is accessible from the header and displays the added product successfully</t>
  </si>
  <si>
    <t>OC_CART_TC_336</t>
  </si>
  <si>
    <t>Verify adding a product to cart from search results</t>
  </si>
  <si>
    <t>Search / Product Listing / Cart</t>
  </si>
  <si>
    <t>1.Enter a valid product name in the search bar (e.g. "MacBook")
2.Click on the search button
3.From the search results, select a product
4.Click on "Add to Cart" button from the search results page or product card
5.Navigate to the shopping cart page
6.Verify the product is added correctly</t>
  </si>
  <si>
    <t>Search Keyword: MacBook
Product: MacBook</t>
  </si>
  <si>
    <t>User should be able to add a product to the cart directly from search results, and the product should be displayed correctly in the shopping cart</t>
  </si>
  <si>
    <t>Product is added successfully to the cart from search results</t>
  </si>
  <si>
    <t>OC_CART_TC_337</t>
  </si>
  <si>
    <t>Verify Add to Cart as Guest (Not Logged In)</t>
  </si>
  <si>
    <t>Cart / Authentication / Product Details</t>
  </si>
  <si>
    <t>User is NOT logged in and is on Home Page</t>
  </si>
  <si>
    <t>1.Ensure user is not logged in
2.Navigate to any product page
3.Click on "Add to Cart" button
4.Navigate to the shopping cart page
5.Verify product is added successfully</t>
  </si>
  <si>
    <t>Guest user should be able to add product to cart successfully without logging in, and product should appear in the cart correctly</t>
  </si>
  <si>
    <t>Product is added successfully to the cart as a guest user</t>
  </si>
  <si>
    <t>OC_CART_TC_338</t>
  </si>
  <si>
    <t>Verify adding product to cart while logged in saves items to user account</t>
  </si>
  <si>
    <t>Cart / Authentication / User Account</t>
  </si>
  <si>
    <t>User is logged in successfully</t>
  </si>
  <si>
    <t>1.Login with valid user credentials
2.Navigate to any product page
3.Click on "Add to Cart" button
4.Navigate to the shopping cart page
5.Log out and log in again with the same account
6.Verify the cart items are still available</t>
  </si>
  <si>
    <t>User: Valid registered user
Product: MacBook</t>
  </si>
  <si>
    <t>Products added to the cart should be saved under the user account and remain available after logout and login</t>
  </si>
  <si>
    <t>Product is saved in the cart and remains available after re-login</t>
  </si>
  <si>
    <t>OC_CART_TC_339</t>
  </si>
  <si>
    <t>Verify user can remove product from shopping cart</t>
  </si>
  <si>
    <t>Cart / Remove Item</t>
  </si>
  <si>
    <t>User has at least one product added to the shopping cart</t>
  </si>
  <si>
    <t>1.Navigate to any product page
2.Click "Add to Cart" button
3.Go to the shopping cart page from header
4.Locate the added product in the cart
5.Click on "Remove" or "Delete" button for the product
6.Refresh the cart page</t>
  </si>
  <si>
    <t>Product should be successfully removed from the cart and should no longer appear after page refresh</t>
  </si>
  <si>
    <t>Product is removed successfully from the cart</t>
  </si>
  <si>
    <t>OC_CART_TC_340</t>
  </si>
  <si>
    <t>Verify user can update product quantity manually in cart</t>
  </si>
  <si>
    <t>Cart / Quantity Update</t>
  </si>
  <si>
    <t>Functional / UI / E2E</t>
  </si>
  <si>
    <t>User has product added to cart</t>
  </si>
  <si>
    <t>1.Navigate to shopping cart page
2.Locate product quantity input field
3.Click inside the quantity field
4.Change value manually (e.g. 1 → 3)
5.Click outside the field or refresh page
6.Verify cart updates correctly</t>
  </si>
  <si>
    <t>Product: MacBook
Initial Quantity: 1
Updated Quantity: 3</t>
  </si>
  <si>
    <t>System should accept manual quantity changes and update cart total and product quantity correctly</t>
  </si>
  <si>
    <t>Quantity is updated successfully when edited manually</t>
  </si>
  <si>
    <t>OC_CART_TC_341</t>
  </si>
  <si>
    <t>Verify cart merge after login (guest cart → registered user account cart)</t>
  </si>
  <si>
    <t>Functional / Integration / E2E</t>
  </si>
  <si>
    <t>User is not logged in (Guest session)
At least one product is added to the cart as guest</t>
  </si>
  <si>
    <t>1.As a guest user, navigate to any product page
2.Add a product to the cart
3.Verify product is added successfully in guest cart
4.Click on Login from header/menu
5.Login using valid registered credentials
6.Navigate to the shopping cart page</t>
  </si>
  <si>
    <t>Guest Cart Product: MacBook
User Account: Valid registered user</t>
  </si>
  <si>
    <t>Guest cart items should be merged with the logged-in user's account cart, and all products should be visible after login without data loss or duplication</t>
  </si>
  <si>
    <t>Guest cart products are successfully retained and available after user logs in</t>
  </si>
  <si>
    <t>OC_CART_TC_342</t>
  </si>
  <si>
    <t>Verify user can proceed from shopping cart to checkout successfully</t>
  </si>
  <si>
    <t>Cart / Checkout Navigation</t>
  </si>
  <si>
    <t>1.Navigate to the shopping cart page
2.Verify that at least one product exists in the cart
3.Click on the "Checkout" button
4.Verify redirection to the checkout page</t>
  </si>
  <si>
    <t>User should be successfully redirected from the cart page to the checkout page without errors</t>
  </si>
  <si>
    <t>User is redirected successfully from the shopping cart page to the checkout page after clicking on the "Checkout" button</t>
  </si>
  <si>
    <t>OC_CART_TC_343</t>
  </si>
  <si>
    <t>Verify required fields validation on checkout page for billing details</t>
  </si>
  <si>
    <t>Checkout / Billing Details / Validation</t>
  </si>
  <si>
    <t>Functional / Validation / E2E</t>
  </si>
  <si>
    <t>User has at least one product in the shopping cart and is on checkout page</t>
  </si>
  <si>
    <t>1.Proceed to checkout page
2.Leave required billing fields empty (e.g. First Name, Last Name, Email, Telephone, Address)
3.Click on "Continue"</t>
  </si>
  <si>
    <t>First Name: Empty
Last Name: Empty
Email: Empty
Telephone: Empty
Address: Empty</t>
  </si>
  <si>
    <t>System should display validation messages for all mandatory billing fields and prevent checkout continuation</t>
  </si>
  <si>
    <t>System correctly displays validation messages for required billing fields and prevents proceeding to checkout</t>
  </si>
  <si>
    <t>OC_CART_TC_344</t>
  </si>
  <si>
    <t>Verify Terms &amp; Conditions acceptance is required before confirming order</t>
  </si>
  <si>
    <t>Checkout / Terms &amp; Conditions / Validation</t>
  </si>
  <si>
    <t>User is on checkout page with all mandatory billing details completed</t>
  </si>
  <si>
    <t>1.Proceed to checkout page
2.Fill required billing fields
3.Click on "Continue"
4.Keep default payment method selected (Cash On Delivery)
5.Do not check the "Terms &amp; Conditions" checkbox
6.Click on "Continue"</t>
  </si>
  <si>
    <t>Payment Method: Cash On Delivery
Terms &amp; Conditions: Unchecked</t>
  </si>
  <si>
    <t>System should prevent order confirmation and display validation message requesting acceptance of Terms &amp; Conditions</t>
  </si>
  <si>
    <t>System prevents order confirmation until Terms &amp; Conditions checkbox is selected</t>
  </si>
  <si>
    <t>OC_CART_TC_345</t>
  </si>
  <si>
    <t>Verify system blocks checkout when product is out of stock or unavailable quantity</t>
  </si>
  <si>
    <t>Checkout / Stock Validation</t>
  </si>
  <si>
    <t>User has product in cart with unavailable quantity or out-of-stock status</t>
  </si>
  <si>
    <t>1.Add a product with unavailable quantity or out-of-stock status to the cart
2.Navigate to shopping cart page
3.Attempt to proceed to checkout</t>
  </si>
  <si>
    <t>Product: Out of Stock Product
OR
Quantity: Exceeds available stock</t>
  </si>
  <si>
    <t>System should block checkout process and display a warning message indicating that the product is unavailable or quantity exceeds available stock</t>
  </si>
  <si>
    <t>System blocks checkout and displays the message:
"Products marked with *** are not available in the desired quantity or not in stock!"</t>
  </si>
  <si>
    <t>OC_CART_TC_346</t>
  </si>
  <si>
    <t>Verify shopping cart displays correct product name, quantity, and price</t>
  </si>
  <si>
    <t>Cart / Product Information Display</t>
  </si>
  <si>
    <t>1.Navigate to any product page
2.Add a product to the cart
3.Go to the shopping cart page
4.Verify displayed product name
5.Verify displayed quantity
6.Verify displayed unit price and total price</t>
  </si>
  <si>
    <t>Product: MacBook
Quantity: 2
Total Price: $1,204</t>
  </si>
  <si>
    <t>Shopping cart should display:
Correct product name
Correct quantity
Correct unit price
Correct total price based on quantity</t>
  </si>
  <si>
    <t>Shopping cart displays correct product name, quantity, and pricing information successfully</t>
  </si>
  <si>
    <t>OC_CART_TC_347</t>
  </si>
  <si>
    <t>Verify available payment methods are displayed during "MacBook" checkout</t>
  </si>
  <si>
    <t>Checkout / Payment Method</t>
  </si>
  <si>
    <t>Product is added to cart
Billing details are completed
Checkout page is opened</t>
  </si>
  <si>
    <t>1.Add MacBook product to cart
2.Proceed to checkout page
3.Fill all required billing details
4.Continue to payment section
5.Click "Continue"</t>
  </si>
  <si>
    <t>System should display at least one available payment method and allow checkout continuation</t>
  </si>
  <si>
    <t>System displays warning message:
"Warning: No Payment options are available"
and checkout cannot continue</t>
  </si>
  <si>
    <t>OC_CART_BUG_011</t>
  </si>
  <si>
    <t>OC_CART_TC_348</t>
  </si>
  <si>
    <t>Verify order appears in order history after successful placement</t>
  </si>
  <si>
    <t>Order History / Account / Orders</t>
  </si>
  <si>
    <t>System is in logged-in state
Order has been successfully placed</t>
  </si>
  <si>
    <t>1.Complete a successful order placement
2.Navigate to My account at header
3.Open "Order History" section
4.Locate the most recent order
5.Verify order details (product, quantity, price, status)</t>
  </si>
  <si>
    <t>Product: HTC Touch HD
User: Registered logged-in user</t>
  </si>
  <si>
    <t>Recently placed order should be displayed in order history with correct details and status</t>
  </si>
  <si>
    <t>Order appears successfully in order history with correct details</t>
  </si>
  <si>
    <t>OC_CART_TC_349</t>
  </si>
  <si>
    <t>Verify checkout cannot proceed with empty cart</t>
  </si>
  <si>
    <t>Cart / Checkout Validation</t>
  </si>
  <si>
    <t>Functional / Negative / E2E</t>
  </si>
  <si>
    <t>Cart is empty</t>
  </si>
  <si>
    <t>1.Navigate to shopping cart page
2.Verify cart has no products
3.Click on "Checkout" button</t>
  </si>
  <si>
    <t>Cart State: Empty</t>
  </si>
  <si>
    <t>System should prevent proceeding to checkout and display a message indicating that the cart is empty</t>
  </si>
  <si>
    <t>Checkout is blocked and system displays message indicating that cart is empty</t>
  </si>
  <si>
    <t>OC_CART_TC_351</t>
  </si>
  <si>
    <t>Verify invalid email format is rejected in billing form</t>
  </si>
  <si>
    <t>Functional / Negative / Validation</t>
  </si>
  <si>
    <t>User is on checkout billing details section</t>
  </si>
  <si>
    <t>1.Navigate to checkout page
2.Enter invalid email format in email field (e.g. abc, abc@, abc.com)
3.Fill other required fields with valid data
4.Click on "Continue" button</t>
  </si>
  <si>
    <t>Email: abc@</t>
  </si>
  <si>
    <t>System should reject invalid email format and display a validation message indicating that a valid email address is required</t>
  </si>
  <si>
    <t>System displays validation error message and does not allow proceeding with checkout</t>
  </si>
  <si>
    <t>OC_CART_TC_352</t>
  </si>
  <si>
    <t>Verify back button during checkout does not lose cart data</t>
  </si>
  <si>
    <t>Checkout / Navigation / Cart Persistence</t>
  </si>
  <si>
    <t>Functional / E2E / Regression</t>
  </si>
  <si>
    <t>Product is added to cart
User is on checkout page</t>
  </si>
  <si>
    <t>1.Navigate to checkout page from cart
2.Click on browser back button or "Back" button (if available)
3.Navigate again to cart page
4.Verify cart contents</t>
  </si>
  <si>
    <t>Product: HTC Touch HD
Quantity: 1</t>
  </si>
  <si>
    <t>Cart data should remain unchanged after navigating back from checkout, and previously added products should still be present</t>
  </si>
  <si>
    <t>Cart quantity may temporarily display as 0 when navigating back from checkout, but correct values are restored after refreshing or reopening the shopping cart page</t>
  </si>
  <si>
    <t>OC_CART_BUG_012</t>
  </si>
  <si>
    <t>OC_CART_TC_353</t>
  </si>
  <si>
    <t>Verify error message when adding (Apple Cinema 30") to cart without selecting required options</t>
  </si>
  <si>
    <t>User is on Product Details page for Apple Cinema 30"</t>
  </si>
  <si>
    <t>1.Click on (Apple Cinema 30") product
2.Do not select any required options
3.Click on "Add to Cart" button</t>
  </si>
  <si>
    <t>Product: Apple Cinema 30
Options: Not selected</t>
  </si>
  <si>
    <t>System should display validation error messages for all required fields and product should not be added to the cart</t>
  </si>
  <si>
    <t>Error messages are displayed and product is not added to cart</t>
  </si>
  <si>
    <t>OC_CART_TC_354</t>
  </si>
  <si>
    <t>Verify product details are displayed correctly for "Product 8" before adding to cart</t>
  </si>
  <si>
    <t>Functional / UI / Usability</t>
  </si>
  <si>
    <t>User is on Product Details page for "Product 8"</t>
  </si>
  <si>
    <t>1.Hover over "Desktops" from the menu bar
2.Click on "Show All Desktops"
3.Select "Product 8"
4.Verify product image is displayed
5.Verify product name is clearly displayed
6.Click on "Add to Cart" button</t>
  </si>
  <si>
    <t>Product: Product 8</t>
  </si>
  <si>
    <t>Product should display valid image and clear product information before being added to cart</t>
  </si>
  <si>
    <t>Product is displayed without image and with unclear product name ("Product 8"), but it can still be added to cart</t>
  </si>
  <si>
    <t>OC_CART_BUG_013</t>
  </si>
  <si>
    <t>OC_CART_TC_355</t>
  </si>
  <si>
    <t>Verify default quantity is "1" when adding product to cart</t>
  </si>
  <si>
    <t>1.Navigate to a product category
2.Navigate to any product page
3.Verify the default quantity value in the quantity field
4.Click on "Add to Cart" button without changing the quantity
5.Navigate to the shopping cart page</t>
  </si>
  <si>
    <t>Product: Any available product
Default Quantity: 1</t>
  </si>
  <si>
    <t>The quantity field should display "1" by default, and the product should be added to the cart with quantity = 1</t>
  </si>
  <si>
    <t>Product is added successfully with default quantity = 1</t>
  </si>
  <si>
    <t>OC_CART_TC_356</t>
  </si>
  <si>
    <t>Verify Cart Item Count Shown Correctly in Header</t>
  </si>
  <si>
    <t>1.Navigate to any product page
2.Click on "Add to Cart" button
3.Add another product to the cart
4.Verify the cart count updates correctly in the header</t>
  </si>
  <si>
    <t>Product 1: iPhone
Product 2: MacBook</t>
  </si>
  <si>
    <t>Header displays '2 item(s)' with correct combined price</t>
  </si>
  <si>
    <t>Cart item count is updated correctly in the header</t>
  </si>
  <si>
    <t>OC_CART_TC_357</t>
  </si>
  <si>
    <t>Verify "Your cart is empty" message is displayed when cart has no products</t>
  </si>
  <si>
    <t>Cart / UI / Empty State</t>
  </si>
  <si>
    <t>User has no products in the shopping cart (cart is empty)</t>
  </si>
  <si>
    <t>1.Navigate to the shopping cart page from the header
2.Ensure no products are added to the cart</t>
  </si>
  <si>
    <t>System should display a message like "Your cart is empty" indicating that there are no items in the cart</t>
  </si>
  <si>
    <t>"Your shopping cart is empty!" message is displayed successfully when no items exist in the cart</t>
  </si>
  <si>
    <t>OC_CART_TC_358</t>
  </si>
  <si>
    <t>Verify default delivery method is pre-selected in checkout page</t>
  </si>
  <si>
    <t>Checkout / Delivery Options</t>
  </si>
  <si>
    <t>Billing Details are filled with valid data
Delivery Details are selected and completed
At least one product is available in the cart
User is on the checkout page</t>
  </si>
  <si>
    <t>1.Navigate to checkout page
2.Fill other required fields with valid data
3.Go to delivery method section</t>
  </si>
  <si>
    <t>Billing Details: Valid data (name, email, phone, address)
Product: HTC Touch HD (Quantity: 1)</t>
  </si>
  <si>
    <t>Default delivery method (Flat Shipping Rate - $5.00) should be pre-selected and not removable if business rules enforce it</t>
  </si>
  <si>
    <t>Flat Shipping Rate - $5.00 is pre-selected and cannot be deselected</t>
  </si>
  <si>
    <t>OC_CART_TC_359</t>
  </si>
  <si>
    <t>Verify page title and URL update correctly during checkout steps</t>
  </si>
  <si>
    <t>Checkout / Navigation / UI</t>
  </si>
  <si>
    <t>Functional / UI / Navigation</t>
  </si>
  <si>
    <t>Product is added to cart
Checkout process is started</t>
  </si>
  <si>
    <t>1.Add a product to the cart
2.Navigate to the shopping cart page
3.Verify page title and URL for Cart page
4.Click on "Checkout" button
5.Verify page title and URL for Checkout page
6.Complete the checkout process successfully
7.Verify page title and URL for Success/Order Confirmation page</t>
  </si>
  <si>
    <t>Page title and URL should change correctly and reflect the current checkout step/page</t>
  </si>
  <si>
    <t>Page title and URL update correctly between Cart, Checkout, and Success Process pages</t>
  </si>
  <si>
    <t>🔗  Traceability Matrix — User Stories ↔ Test Scenarios ↔ Test Cases</t>
  </si>
  <si>
    <t>User Story ID</t>
  </si>
  <si>
    <t>User Story Title</t>
  </si>
  <si>
    <t>Acceptance Criteria</t>
  </si>
  <si>
    <t>Category</t>
  </si>
  <si>
    <t>Test Scenario ID</t>
  </si>
  <si>
    <t>Test Scenario Title</t>
  </si>
  <si>
    <t>TC Count</t>
  </si>
  <si>
    <t>Test Case IDs</t>
  </si>
  <si>
    <t>Coverage</t>
  </si>
  <si>
    <t>OC-REG-US-001</t>
  </si>
  <si>
    <t>Successful Account Registration</t>
  </si>
  <si>
    <t>AC-01, AC-02</t>
  </si>
  <si>
    <t>TS-SUCC-001</t>
  </si>
  <si>
    <t>OC_AUTH_TC_001
OC_AUTH_TC_007</t>
  </si>
  <si>
    <t>OC-REG-US-002</t>
  </si>
  <si>
    <t>First Name &amp; Last Name Validation</t>
  </si>
  <si>
    <t>AC-01 to AC-05</t>
  </si>
  <si>
    <t>Validation</t>
  </si>
  <si>
    <t>TS-NAME-001</t>
  </si>
  <si>
    <t>Invalid First &amp; Last Name</t>
  </si>
  <si>
    <t>OC_AUTH_TC_014
OC_AUTH_TC_015
OC_AUTH_TC_021
OC_AUTH_TC_022
OC_AUTH_TC_023
OC_AUTH_TC_024
OC_AUTH_TC_025
OC_AUTH_TC_026
OC_AUTH_TC_037
OC_AUTH_TC_038</t>
  </si>
  <si>
    <t>AC-05</t>
  </si>
  <si>
    <t>TS-NAME-002</t>
  </si>
  <si>
    <t>First &amp; Last Name Length Boundaries</t>
  </si>
  <si>
    <t>OC_AUTH_TC_062
OC_AUTH_TC_070
OC_AUTH_TC_071
OC_AUTH_TC_072
OC_AUTH_TC_073
OC_AUTH_TC_063
OC_AUTH_TC_074
OC_AUTH_TC_075
OC_AUTH_TC_076
OC_AUTH_TC_077</t>
  </si>
  <si>
    <t>OC-REG-US-003</t>
  </si>
  <si>
    <t>E-Mail Validation</t>
  </si>
  <si>
    <t>AC-01 to AC-06</t>
  </si>
  <si>
    <t>TS-EMAIL-001</t>
  </si>
  <si>
    <t>Invalid Email Formats</t>
  </si>
  <si>
    <t>OC_AUTH_TC_016
OC_AUTH_TC_027
OC_AUTH_TC_028
OC_AUTH_TC_029
OC_AUTH_TC_030
OC_AUTH_TC_031
OC_AUTH_TC_032
OC_AUTH_TC_008
OC_AUTH_TC_009
OC_AUTH_TC_039</t>
  </si>
  <si>
    <t>TS-EMAIL-002</t>
  </si>
  <si>
    <t>Email Field Length Boundaries</t>
  </si>
  <si>
    <t>OC_AUTH_TC_064
OC_AUTH_TC_065
OC_AUTH_TC_078
OC_AUTH_TC_079
OC_AUTH_TC_080
OC_AUTH_TC_081</t>
  </si>
  <si>
    <t>OC-REG-US-004</t>
  </si>
  <si>
    <t>Telephone Validation</t>
  </si>
  <si>
    <t>TS-TEL-001</t>
  </si>
  <si>
    <t>Invalid Telephone</t>
  </si>
  <si>
    <t>OC_AUTH_TC_017
OC_AUTH_TC_033
OC_AUTH_TC_034
OC_AUTH_TC_035
OC_AUTH_TC_040</t>
  </si>
  <si>
    <t>AC-04</t>
  </si>
  <si>
    <t>TS-TEL-002</t>
  </si>
  <si>
    <t>Telephone Field Length Boundaries</t>
  </si>
  <si>
    <t>OC_AUTH_TC_066
OC_AUTH_TC_067
OC_AUTH_TC_082
OC_AUTH_TC_083
OC_AUTH_TC_084
OC_AUTH_TC_085</t>
  </si>
  <si>
    <t>TS-TEL-003</t>
  </si>
  <si>
    <t>Duplicate Telephone</t>
  </si>
  <si>
    <t>OC-REG-US-005</t>
  </si>
  <si>
    <t>Password &amp; Confirm Validation</t>
  </si>
  <si>
    <t>Validation/Security</t>
  </si>
  <si>
    <t>TS-PASS-001</t>
  </si>
  <si>
    <t>Password &amp; Confirm Password Validation</t>
  </si>
  <si>
    <t>OC_AUTH_TC_011
OC_AUTH_TC_018
OC_AUTH_TC_019
OC_AUTH_TC_020
OC_AUTH_TC_036
OC_AUTH_TC_041</t>
  </si>
  <si>
    <t>AC-06</t>
  </si>
  <si>
    <t>TS-PASS-002</t>
  </si>
  <si>
    <t>Password Field Length Boundaries</t>
  </si>
  <si>
    <t>OC_AUTH_TC_068
OC_AUTH_TC_069
OC_AUTH_TC_086
OC_AUTH_TC_087
OC_AUTH_TC_088
OC_AUTH_TC_089</t>
  </si>
  <si>
    <t>OC-REG-US-006</t>
  </si>
  <si>
    <t>Newsletter Subscription</t>
  </si>
  <si>
    <t>AC-01 to AC-04</t>
  </si>
  <si>
    <t>TS-NEWS-001 to TS-NEWS-004</t>
  </si>
  <si>
    <t>Newsletter Scenarios</t>
  </si>
  <si>
    <t>OC_AUTH_TC_091
OC_AUTH_TC_092
OC_AUTH_TC_093
OC_AUTH_TC_094</t>
  </si>
  <si>
    <t>OC-REG-US-007</t>
  </si>
  <si>
    <t>Privacy Policy Acceptance</t>
  </si>
  <si>
    <t>TS-PP-001</t>
  </si>
  <si>
    <t>Privacy Policy Validation</t>
  </si>
  <si>
    <t xml:space="preserve">OC_AUTH_TC_012
OC_AUTH_TC_013
</t>
  </si>
  <si>
    <t>OC-REG-US-008</t>
  </si>
  <si>
    <t>Registration Response Time</t>
  </si>
  <si>
    <t>AC-01</t>
  </si>
  <si>
    <t>TS-PERF-001</t>
  </si>
  <si>
    <t>OC-REG-US-009</t>
  </si>
  <si>
    <t>Input Security</t>
  </si>
  <si>
    <t>AC-01, AC-02, AC-03</t>
  </si>
  <si>
    <t>TS-SEC-001, TS-SEC-002, TS-SEC-003</t>
  </si>
  <si>
    <t>SQL Injection, XSS, Password Masking</t>
  </si>
  <si>
    <t>OC_AUTH_TC_002
OC_AUTH_TC_003</t>
  </si>
  <si>
    <t>OC-REG-US-010</t>
  </si>
  <si>
    <t>Form Usability</t>
  </si>
  <si>
    <t>AC-01 to AC-03</t>
  </si>
  <si>
    <t>TS-USE-001, TS-USE-002, TS-USE-003</t>
  </si>
  <si>
    <t>Usability Scenarios</t>
  </si>
  <si>
    <t>OC_AUTH_TC_108
OC_AUTH_TC_109
OC_AUTH_TC_110
OC_AUTH_TC_111
OC_AUTH_TC_112</t>
  </si>
  <si>
    <t>OC-REG-US-011</t>
  </si>
  <si>
    <t>Responsive Design &amp; Browser Compatibility</t>
  </si>
  <si>
    <t>TS-COMP-001, TS-COMP-002, TS-COMP-003</t>
  </si>
  <si>
    <t>Compatibility Scenarios</t>
  </si>
  <si>
    <t>OC_AUTH_TC_107
OC_AUTH_TC_113
OC_AUTH_TC_114</t>
  </si>
  <si>
    <t>OC-LOG-US-001</t>
  </si>
  <si>
    <t>Core Login Flow</t>
  </si>
  <si>
    <t>TS-CORE-001</t>
  </si>
  <si>
    <t>OC_AUTH_TC_004
  OC_AUTH_TC_042 
 OC_AUTH_TC_054 
OC_AUTH_TC_055</t>
  </si>
  <si>
    <t>OC-LOG-US-002</t>
  </si>
  <si>
    <t>Email Field Validation</t>
  </si>
  <si>
    <t>OC_AUTH_TC_043 
 OC_AUTH_TC_045 
 OC_AUTH_TC_046 
 OC_AUTH_TC_047 
 OC_AUTH_TC_048 
 OC_AUTH_TC_051 
 OC_AUTH_TC_052 
 OC_AUTH_TC_053</t>
  </si>
  <si>
    <t>OC-LOG-US-003</t>
  </si>
  <si>
    <t>Password Field Validation</t>
  </si>
  <si>
    <t>TS-PASS-003</t>
  </si>
  <si>
    <t>OC_AUTH_TC_044 
 OC_AUTH_TC_049 
 OC_AUTH_TC_050</t>
  </si>
  <si>
    <t>OC-LOG-US-004</t>
  </si>
  <si>
    <t>Forgotten Password</t>
  </si>
  <si>
    <t>TS-FPASS-004</t>
  </si>
  <si>
    <t>Forgotten Password Flow</t>
  </si>
  <si>
    <t>OC_AUTH_TC_058 
 OC_AUTH_TC_059 
 OC_AUTH_TC_095 
 OC_AUTH_TC_057 
 OC_AUTH_TC_096 
 OC_AUTH_TC_097 
 OC_AUTH_TC_098 
 OC_AUTH_TC_099</t>
  </si>
  <si>
    <t>OC-LOG-US-005</t>
  </si>
  <si>
    <t>Logout</t>
  </si>
  <si>
    <t>TS-LOGOUT-005</t>
  </si>
  <si>
    <t>Logout Flow</t>
  </si>
  <si>
    <t>OC_AUTH_TC_060 
 OC_AUTH_TC_061 
 OC_AUTH_TC_103 
 OC_AUTH_TC_104 
 OC_AUTH_TC_105 
 OC_AUTH_TC_106</t>
  </si>
  <si>
    <t>OC-LOG-US-006</t>
  </si>
  <si>
    <t>Login Performance</t>
  </si>
  <si>
    <t>TS-PERF-006</t>
  </si>
  <si>
    <t>Performance and Resilience</t>
  </si>
  <si>
    <t>OC_AUTH_TC_100 
 OC_AUTH_TC_101 
 OC_AUTH_TC_102</t>
  </si>
  <si>
    <t>OC-LOG-US-007</t>
  </si>
  <si>
    <t>TS-SEC-007</t>
  </si>
  <si>
    <t>OC_AUTH_TC_005 
 OC_AUTH_TC_006 
 OC_AUTH_TC_056</t>
  </si>
  <si>
    <t>OC-LOG-US-008</t>
  </si>
  <si>
    <t>TS-USE-008</t>
  </si>
  <si>
    <t>Login Form Usability</t>
  </si>
  <si>
    <t>OC_AUTH_TC_115 
 OC_AUTH_TC_116 
 OC_AUTH_TC_117 
 OC_AUTH_TC_118 
 OC_AUTH_TC_119</t>
  </si>
  <si>
    <t>OC-LOG-US-009</t>
  </si>
  <si>
    <t>TS-COMP-009</t>
  </si>
  <si>
    <t>Login Page Fully Responsive</t>
  </si>
  <si>
    <t>OC_AUTH_TC_120 
 OC_AUTH_TC_121 
 OC_AUTH_TC_122</t>
  </si>
  <si>
    <t>🐞  OpenCart Platform — Bug / Defect Log</t>
  </si>
  <si>
    <t>Bug ID</t>
  </si>
  <si>
    <t>Linked User Story</t>
  </si>
  <si>
    <t>Bug Title</t>
  </si>
  <si>
    <t>Steps to Reproduce</t>
  </si>
  <si>
    <t>Expected vs Actual</t>
  </si>
  <si>
    <t>Reported By</t>
  </si>
  <si>
    <t>Date Reported</t>
  </si>
  <si>
    <t xml:space="preserve"> Attachments</t>
  </si>
  <si>
    <t>OC-REG-US-009 / AC-01</t>
  </si>
  <si>
    <t>On the Registration page | Entering a SQL injection payload in the First Name field and clicking Continue completes registration successfully</t>
  </si>
  <si>
    <t>Open</t>
  </si>
  <si>
    <t>Testing | OpenCart v3.x | Chrome 124 | Windows 10</t>
  </si>
  <si>
    <t>1. Navigate to Registration page
2. Enter SQL injection in First Name: ' OR '1'='1
3. Fill other fields with valid data
4. Accept Privacy Policy
5. Click Continue</t>
  </si>
  <si>
    <t>Expected: Registration rejected | No SQL error exposed | Generic validation message shown | Application remains stable
Actual: System allowed registration | Account created with injected input stored in profile | No validation or sanitization applied</t>
  </si>
  <si>
    <t xml:space="preserve">Video: OC_AUTH_BUG_001.mp4 (in Bug_Evidences.zip) </t>
  </si>
  <si>
    <t>OC-REG-US-004 / AC-05</t>
  </si>
  <si>
    <t>On the Registration page | Entering a duplicate Telephone number and clicking Continue completes registration successfully</t>
  </si>
  <si>
    <t>1. Ensure Telephone: 0501234567 is already registered
2. Navigate to Registration page
3. Enter Telephone: 0501234567 (already registered)
4. Fill other fields with unique valid data
5. Accept Privacy Policy
6. Click Continue</t>
  </si>
  <si>
    <t>Expected: Registration rejected | Warning: Telephone is already registered
Actual: Registration succeeded | Duplicate telephone allowed | Second account created with same phone number</t>
  </si>
  <si>
    <t xml:space="preserve">Video: OC_AUTH_BUG_002.mp4 (in Bug_Evidences.zip) </t>
  </si>
  <si>
    <t>OC-REG-US-002 / AC-03</t>
  </si>
  <si>
    <t>On the Registration page | Entering numeric characters in the First Name field and clicking Continue completes registration successfully</t>
  </si>
  <si>
    <t>1. Navigate to Registration page
2. Enter First Name: Mohamed123
3. Fill other fields with valid data
4. Accept Privacy Policy
5. Click Continue</t>
  </si>
  <si>
    <t>Expected: Registration rejected | Validation error: First Name should contain letters only
Actual: Registration succeeded | Account created with numeric characters in First Name | No validation error shown</t>
  </si>
  <si>
    <t xml:space="preserve">Video: OC_AUTH_BUG_003.mp4 (in Bug_Evidences.zip) </t>
  </si>
  <si>
    <t>On the Registration page | Entering special characters in the First Name field and clicking Continue completes registration successfully</t>
  </si>
  <si>
    <t>1. Navigate to Registration page
2. Enter First Name: Mohamed@#$
3. Fill other fields with valid data
4. Accept Privacy Policy
5. Click Continue</t>
  </si>
  <si>
    <t>Expected: Registration rejected | Validation error displayed for First Name
Actual: Registration succeeded | Account created with special characters stored in First Name | No validation error shown</t>
  </si>
  <si>
    <t xml:space="preserve">Video: OC_AUTH_BUG_004.mp4 (in Bug_Evidences.zip) </t>
  </si>
  <si>
    <t>On the Registration page | Entering numeric characters in the Last Name field and clicking Continue completes registration successfully</t>
  </si>
  <si>
    <t>1. Navigate to Registration page
2. Enter Last Name: Smith123
3. Fill other fields with valid data
4. Accept Privacy Policy
5. Click Continue</t>
  </si>
  <si>
    <t>Expected: Registration rejected | Validation error for Last Name
Actual: Registration succeeded | Account created with numeric characters in Last Name | No validation error shown</t>
  </si>
  <si>
    <t xml:space="preserve">Video: OC_AUTH_BUG_005.Png (in Bug_Evidences.zip) </t>
  </si>
  <si>
    <t>On the Registration page | Entering special characters in the Last Name field and clicking Continue completes registration successfully</t>
  </si>
  <si>
    <t>1. Navigate to Registration page
2. Enter Last Name: Smith@#$
3. Fill other fields with valid data
4. Accept Privacy Policy
5. Click Continue</t>
  </si>
  <si>
    <t>Expected: Registration rejected | Validation error displayed for Last Name
Actual: Registration succeeded | Account created with special characters stored in Last Name | No validation error shown</t>
  </si>
  <si>
    <t xml:space="preserve">Video: OC_AUTH_BUG_006.Png (in Bug_Evidences.zip) </t>
  </si>
  <si>
    <t>OC-REG-US-003 / AC-03</t>
  </si>
  <si>
    <t>On the Registration page | Entering illegal characters in the Email field and clicking Continue completes registration successfully</t>
  </si>
  <si>
    <t>1. Navigate to Registration page
2. Enter Email: te#st@domain.com
3. Fill other fields with valid data
4. Accept Privacy Policy
5. Click Continue</t>
  </si>
  <si>
    <t>Expected: Registration rejected | Error: "E-Mail Address does not appear to be valid!"
Actual: Registration succeeded | Account created with invalid email format containing illegal characters</t>
  </si>
  <si>
    <t xml:space="preserve">Video: OC_AUTH_BUG_007.Png (in Bug_Evidences.zip) </t>
  </si>
  <si>
    <t>OC-REG-US-004 / AC-03</t>
  </si>
  <si>
    <t>On the Registration page | Entering alphabetic characters in the Telephone field and clicking Continue completes registration successfully</t>
  </si>
  <si>
    <t>1. Navigate to Registration page
2. Enter Telephone: test (alphabetic)
3. Fill other fields with valid data
4. Accept Privacy Policy
5. Click Continue</t>
  </si>
  <si>
    <t>Expected: Registration rejected | Telephone must be numeric only
Actual: Registration succeeded | Account created with alphabetic telephone value | No validation error shown</t>
  </si>
  <si>
    <t xml:space="preserve">Video: OC_AUTH_BUG_008.Png (in Bug_Evidences.zip) </t>
  </si>
  <si>
    <t>On the Registration page | Entering special characters in the Telephone field and clicking Continue completes registration successfully</t>
  </si>
  <si>
    <t>1. Navigate to Registration page
2. Enter Telephone: te#st
3. Fill other fields with valid data
4. Accept Privacy Policy
5. Click Continue</t>
  </si>
  <si>
    <t>Expected: Registration rejected | Special characters in telephone not allowed
Actual: Registration succeeded | Account created with special characters in telephone | No validation error shown</t>
  </si>
  <si>
    <t xml:space="preserve">Video: OC_AUTH_BUG_009.Png (in Bug_Evidences.zip) </t>
  </si>
  <si>
    <t>On the Registration page | Entering whitespace-only input in the Telephone field and clicking Continue completes registration successfully</t>
  </si>
  <si>
    <t>1. Navigate to Registration page
2. Enter Telephone: "   " (spaces only)
3. Fill other fields with valid data
4. Accept Privacy Policy
5. Click Continue</t>
  </si>
  <si>
    <t>Expected: Registration rejected | Whitespace-only telephone treated as empty | Validation error shown
Actual: Registration succeeded | Account created with whitespace stored as telephone value</t>
  </si>
  <si>
    <t xml:space="preserve">Video: OC_AUTH_BUG_010.Png (in Bug_Evidences.zip) </t>
  </si>
  <si>
    <t>OC-REG-US-005 / AC-05</t>
  </si>
  <si>
    <t>On the Registration page | Entering whitespace-only input in the Password field and clicking Continue completes registration successfully</t>
  </si>
  <si>
    <t>1. Navigate to Registration page
2. Enter Password: "    " (spaces only)
3. Enter Confirm Password: "    " (spaces only)
4. Fill other fields with valid data
5. Accept Privacy Policy
6. Click Continue</t>
  </si>
  <si>
    <t>Expected: Registration rejected | Error: "Password must be between 4 and 20 characters!"
Actual: Registration succeeded | Account created with whitespace-only password | Security risk</t>
  </si>
  <si>
    <t xml:space="preserve">Video: OC_AUTH_BUG_011.Png (in Bug_Evidences.zip) </t>
  </si>
  <si>
    <t>OC-REG-US-002 / AC-04</t>
  </si>
  <si>
    <t>On the Registration page | Entering leading or trailing spaces in the First Name field and clicking Continue completes registration successfully</t>
  </si>
  <si>
    <t>1. Navigate to Registration page
2. Enter First Name: " Mohamed" (leading space)
3. Fill other fields with valid data
4. Accept Privacy Policy
5. Click Continue</t>
  </si>
  <si>
    <t>Expected: Registration rejected or spaces trimmed before saving
Actual: Registration succeeded | First Name stored with leading/trailing whitespace | No trimming or rejection</t>
  </si>
  <si>
    <t xml:space="preserve">Video: OC_AUTH_BUG_012.Png (in Bug_Evidences.zip) </t>
  </si>
  <si>
    <t>On the Registration page | Entering leading or trailing spaces in the Last Name field and clicking Continue completes registration successfully</t>
  </si>
  <si>
    <t>1. Navigate to Registration page
2. Enter Last Name: " Smith" (leading space)
3. Fill other fields with valid data
4. Accept Privacy Policy
5. Click Continue</t>
  </si>
  <si>
    <t>Expected: Registration rejected or spaces trimmed before saving
Actual: Registration succeeded | Last Name stored with leading/trailing whitespace | No trimming or rejection</t>
  </si>
  <si>
    <t xml:space="preserve">Video: OC_AUTH_BUG_013.Png (in Bug_Evidences.zip) </t>
  </si>
  <si>
    <t>On the Registration page | Entering leading or trailing spaces in the Telephone field and clicking Continue completes registration successfully</t>
  </si>
  <si>
    <t>1. Navigate to Registration page
2. Enter Telephone: " 1234" (leading space)
3. Fill other fields with valid data
4. Accept Privacy Policy
5. Click Continue</t>
  </si>
  <si>
    <t>Expected: Registration rejected or spaces trimmed from telephone
Actual: Registration succeeded | Telephone stored with spaces | Value does not represent a valid phone number</t>
  </si>
  <si>
    <t xml:space="preserve">Video: OC_AUTH_BUG_014.Png (in Bug_Evidences.zip) </t>
  </si>
  <si>
    <t>On the Registration page | Entering leading or trailing spaces in the Password field and clicking Continue completes registration successfully</t>
  </si>
  <si>
    <t>1. Navigate to Registration page
2. Enter Password: " Test@123" (leading space)
3. Enter matching Confirm Password with same leading space
4. Fill other fields with valid data
5. Accept Privacy Policy
6. Click Continue</t>
  </si>
  <si>
    <t>Expected: Registration rejected or spaces trimmed from password
Actual: Registration succeeded | Password stored with leading/trailing spaces | User may have difficulty logging in later</t>
  </si>
  <si>
    <t xml:space="preserve">Video: OC_AUTH_BUG_015.Png (in Bug_Evidences.zip) </t>
  </si>
  <si>
    <t>Login Fails When Email Contains Leading Spaces — Input Not Trimmed</t>
  </si>
  <si>
    <t>1. Navigate to login page
2. Enter email with leading space: " test@domain.com"
3. Enter valid password: Test123!
4. Click Login</t>
  </si>
  <si>
    <t>Expected: Leading spaces trimmed automatically, login succeeds
Actual: Login failed — leading spaces not trimmed, validation error displayed</t>
  </si>
  <si>
    <t xml:space="preserve">Video: OC_AUTH_BUG_019.Png (in Bug_Evidences.zip) </t>
  </si>
  <si>
    <t>Password Reset Email Not Sent For Valid Registered Email</t>
  </si>
  <si>
    <t>1. Navigate to Forgotten Password page
2. Enter registered email: test@domain.com
3. Click Continue
4. Check inbox for reset email</t>
  </si>
  <si>
    <t>Expected: Reset email received within a reasonable timeframe
Actual: No reset email received — password reset process not completed. Blocks TC_019, TC_020, TC_026, TC_027</t>
  </si>
  <si>
    <t xml:space="preserve">Video: OC_AUTH_BUG_020.Png (in Bug_Evidences.zip) </t>
  </si>
  <si>
    <t>Session Not Invalidated After Logout — Account Pages Accessible Via Browser Back Button</t>
  </si>
  <si>
    <t>1. Log in with valid credentials
2. Navigate to My Account page
3. Click Logout
4. Press browser Back button
5. Observe if account page is accessible</t>
  </si>
  <si>
    <t>Expected: Account pages inaccessible after logout — redirected to login page
Actual: Previously visited account page displayed again without re-authentication — session not invalidated</t>
  </si>
  <si>
    <t xml:space="preserve">Video: OC_AUTH_BUG_021.Png (in Bug_Evidences.zip) </t>
  </si>
  <si>
    <t>OC-REG-US-003 / AC-05</t>
  </si>
  <si>
    <t>On the Registration page | Entering an email below the minimum length (5 chars) and clicking Continue completes registration successfully</t>
  </si>
  <si>
    <t>1. Navigate to Registration page
2. Enter Email: a@b.c (5 chars, Min-1)
3. Fill other fields with valid data
4. Accept Privacy Policy
5. Click Continue</t>
  </si>
  <si>
    <t>Expected: Registration rejected | Error: "E-Mail Address does not appear to be valid!"
Actual: Registration succeeded | Account created with email below minimum length | No error shown</t>
  </si>
  <si>
    <t xml:space="preserve">Video: OC_AUTH_BUG_016.Png (in Bug_Evidences.zip) </t>
  </si>
  <si>
    <t>OC-REG-US-005 / AC-06</t>
  </si>
  <si>
    <t>On the Registration page | Entering a password exceeding the maximum length (21+ chars) and clicking Continue completes registration successfully</t>
  </si>
  <si>
    <t>1. Navigate to Registration page
2. Enter Password: 21-character string (Max+1)
3. Enter matching Confirm Password
4. Fill other fields with valid data
5. Accept Privacy Policy
6. Click Continue</t>
  </si>
  <si>
    <t>Expected: Registration rejected | Error: "Password must be between 4 and 20 characters!"
Actual: Registration succeeded | Account created with over-length password | No validation error shown</t>
  </si>
  <si>
    <t xml:space="preserve">Video: OC_AUTH_BUG_017.Png (in Bug_Evidences.zip) </t>
  </si>
  <si>
    <t>Password Reset Email Not Delivered On Resend Attempt</t>
  </si>
  <si>
    <t>1. Navigate to Forgotten Password page
2. Enter registered email and click Continue
3. Return to Forgotten Password page
4. Re-enter same email and click Continue
5. Check inbox for new reset email</t>
  </si>
  <si>
    <t>Expected: New reset email sent successfully — user can request multiple times
Actual: No reset email delivered on retry — resend functionality not working</t>
  </si>
  <si>
    <t xml:space="preserve">Video: OC_AUTH_BUG_022.Png (in Bug_Evidences.zip) </t>
  </si>
  <si>
    <t>OC-REG-US-010 / AC-02</t>
  </si>
  <si>
    <t>On the Registration page | The Password field displays the browser-native visibility toggle instead of the custom one when opened in Chrome</t>
  </si>
  <si>
    <t>1. Navigate to Registration page
2. Locate Password field in Chrome browser
3. Observe whether a custom password visibility toggle is present
4. Click toggle if visible to verify show/hide functionality</t>
  </si>
  <si>
    <t>Expected: Custom visibility toggle visible next to Password field | Toggle works correctly in Chrome
Actual: Password visibility toggle is not displayed in Chrome | Toggle control missing | Users cannot enable/disable password visibility in Chrome</t>
  </si>
  <si>
    <t xml:space="preserve">Video: OC_AUTH_BUG_018.Png (in Bug_Evidences.zip) </t>
  </si>
  <si>
    <t>Password Visibility Toggle Not Displayed In Chrome Browser</t>
  </si>
  <si>
    <t>1. Open login page in Chrome
2. Locate password field
3. Look for visibility toggle icon
4. Repeat in Edge for comparison</t>
  </si>
  <si>
    <t>Expected: Custom visibility toggle visible in both Chrome and Edge — toggles password show/hide
Actual: Toggle missing in Chrome — feature unavailable. Works correctly in Edge only</t>
  </si>
  <si>
    <t xml:space="preserve">Video: OC_AUTH_BUG_023.Png (in Bug_Evidences.zip) </t>
  </si>
  <si>
    <t>Expected: Cart count and total update dynamically in header.
Actual: No cart count is displayed the website doesn't show the number of cart items beside the cart icon</t>
  </si>
  <si>
    <t xml:space="preserve">Video: OC_SEAR_BUG_001.mp4 (in Bug_Evidences.zip) </t>
  </si>
  <si>
    <t>Expected: Autocomplete suggestions appear.
Actual: No Autocomplete suggestions appear.</t>
  </si>
  <si>
    <t xml:space="preserve">Video: OC_SEAR_BUG_002.mp4 (in Bug_Evidences.zip) </t>
  </si>
  <si>
    <t>Expected: Input truncated to max length OR validation error shown. No server error.
Actual: Input accepted and processed without truncation or error.</t>
  </si>
  <si>
    <t xml:space="preserve">Video: OC_SEAR_BUG_003.mp4 (in Bug_Evidences.zip) </t>
  </si>
  <si>
    <t>Expected: Products matching all or part of multi-word query returned.
Actual: The search doesn't return any results</t>
  </si>
  <si>
    <t xml:space="preserve">Video: OC_SEAR_BUG_004.mp4 (in Bug_Evidences.zip) </t>
  </si>
  <si>
    <t>Expected: System trims to empty and returns empty results.
Actual: The search returns all available products on the website</t>
  </si>
  <si>
    <t xml:space="preserve">Video: OC_SEAR_BUG_005.mp4 (in Bug_Evidences.zip) </t>
  </si>
  <si>
    <t>Expected: User is redirected to Desktops category page. Desktops products are listed.
Actual: User is redirected to Desktops but wrong product items are listed</t>
  </si>
  <si>
    <t xml:space="preserve">Video: OC_CAT_BUG_001.mp4 (in Bug_Evidences.zip) </t>
  </si>
  <si>
    <t>Expected: Components category page loads with relevant products or subcategories.
Actual: Components category page loads with empty product list.</t>
  </si>
  <si>
    <t xml:space="preserve">Video: OC_CAT_BUG_002.mp4 (in Bug_Evidences.zip) </t>
  </si>
  <si>
    <t>Expected: User is directed to McBook products page.
Actual: Clicking on McBook image does not redirect the user to the associated product page; the page remains static</t>
  </si>
  <si>
    <t xml:space="preserve">Video: OC_CAT_BUG_003.mp4 (in Bug_Evidences.zip) </t>
  </si>
  <si>
    <t>Expected: User is directed to iPhone products page.
Actual: User is directed to Samsung Galaxy Tab 10.1 product details page.</t>
  </si>
  <si>
    <t xml:space="preserve">Video: OC_CAT_BUG_004.mp4 (in Bug_Evidences.zip) </t>
  </si>
  <si>
    <t>Expected: Focus moves through each nav link. Pressing Enter navigates to the correct category.
Actual: Focus moves through each nav link except categories that have subcategories under them (Desktops, Laptops &amp; Notebooks, Components, MP3 Players). Pressing Enter navigates to the correct category.</t>
  </si>
  <si>
    <t xml:space="preserve">Video: OC_CAT_BUG_005.mp4 (in Bug_Evidences.zip) </t>
  </si>
  <si>
    <t>Expected: 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
Actual: 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</si>
  <si>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 xml:space="preserve">Video: OC_WISHLIST_BUG_001.mp4 (in Bug_Evidences.zip) </t>
  </si>
  <si>
    <t>Expected: 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
Actual: When adding a product that already exists in the Wishlist, the system does not duplicate the product. However, it displays a success notification message indicating that the product has been added again, which is misleading to the user.</t>
  </si>
  <si>
    <t xml:space="preserve">Video: OC_WISHLIST_BUG_002.mp4 (in Bug_Evidences.zip) </t>
  </si>
  <si>
    <t>Expected: 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
Actual: When the user clicks on the "Continue" button in the Wishlist page, regardless of whether the Wishlist is empty or populated, the system redirects the user to the Login page instead of the Home / Products page.</t>
  </si>
  <si>
    <t xml:space="preserve">Video: OC_WISHLIST_BUG_003.mp4 (in Bug_Evidences.zip) </t>
  </si>
  <si>
    <t>Expected: Breadcrumb should reflect the actual navigation flow used by the user.
Example: Home &gt; Desktops &gt; Wishlist
Actual: 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</si>
  <si>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 xml:space="preserve">Video: OC_WISHLIST_BUG_004.mp4 (in Bug_Evidences.zip) </t>
  </si>
  <si>
    <t>Expected: When the user clicks on the Shop button for a product in Wishlist, the product is successfully added to the Cart. The user is redirected to the Cart page, and the product appears correctly without any errors.
Actual: 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</si>
  <si>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 xml:space="preserve">Video: OC_WISHLIST_BUG_005.mp4 (in Bug_Evidences.zip) </t>
  </si>
  <si>
    <t>Expected: 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
Actual: 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</si>
  <si>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 xml:space="preserve">Video: OC_WISHLIST_BUG_006.mp4 (in Bug_Evidences.zip) </t>
  </si>
  <si>
    <t>Expected: Cart counter should accurately reflect the number of items in the Cart
Any addition or removal of items should update the counter immediately
Cart page item count should match the Cart icon counter
No mismatch should exist between UI counter and actual cart contents
Actual: 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</si>
  <si>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 xml:space="preserve">Video: OC_WISHLIST_BUG_007.mp4 (in Bug_Evidences.zip) </t>
  </si>
  <si>
    <t>Expected: 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
Actual: 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</si>
  <si>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 xml:space="preserve">Video: OC_WISHLIST_BUG_008.mp4 (in Bug_Evidences.zip) </t>
  </si>
  <si>
    <t>Expected: All Wishlist elements are visible
No overlapping or cut-off UI
Product cards are properly aligned
Text and images scale correctly
Actual: In mobile view (real phone / proper mobile mode):
No overlapping
BUT horizontal scroll appears (left/right movement)
In desktop mode inside mobile simulation:
UI overlaps appear (overflow issue)</t>
  </si>
  <si>
    <t xml:space="preserve">Video: OC_WISHLIST_BUG_009.mp4 (in Bug_Evidences.zip) </t>
  </si>
  <si>
    <t>Expected: Wishlist counter is clearly visible
Counter number is readable
Counter is properly aligned with the Wishlist icon
No overlapping or UI distortion appears on small screens
Actual: Only the Wishlist icon is visible
The Wishlist counter is not displayed beside the icon
There is no visible indication of the number of Wishlist items
The issue occurs on:
Real mobile devices
Laptop browser in mobile responsive mode
Desktop mode inside mobile simulation</t>
  </si>
  <si>
    <t xml:space="preserve">Video: OC_WISHLIST_BUG_010.mp4 (in Bug_Evidences.zip) </t>
  </si>
  <si>
    <t>Expected: Buttons are clearly visible
Buttons are properly aligned
Buttons are clickable and responsive
No overlapping or layout distortion occurs
Actual: In tablet view, only icons are visible without labels
Inside Wishlist page:
Remove (X) and Cart buttons have overlapping issues
One button is larger than the other
Cart button is now clickable and working (previously it was not functional)</t>
  </si>
  <si>
    <t xml:space="preserve">Video: OC_WISHLIST_BUG_011.mp4 (in Bug_Evidences.zip) </t>
  </si>
  <si>
    <t>Expected: 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
Actual: 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</si>
  <si>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 xml:space="preserve">Video: OC_WISHLIST_BUG_012.mp4 (in Bug_Evidences.zip) </t>
  </si>
  <si>
    <t>Expected: 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
Actual: When user is logged in: Wishlist works normally
After logout: User is still able to click "Add to Wishlist" and counter increases
BUT when opening Wishlist page: User is redirected to login page
After login again: Previously added items appear</t>
  </si>
  <si>
    <t xml:space="preserve">Video: OC_WISHLIST_BUG_013.mp4 (in Bug_Evidences.zip) </t>
  </si>
  <si>
    <t>[Product Details Page] Apple Cinema 30 accepts quantity less than minimum required quantity (2)</t>
  </si>
  <si>
    <t>Expected: System should display an error message and prevent adding the product to the cart
Actual: Product is added successfully with quantity = 1</t>
  </si>
  <si>
    <t>20/05/2026</t>
  </si>
  <si>
    <t>Video: OC_CART_BUG_001.mp4 (in Bug_Evidences.zip)</t>
  </si>
  <si>
    <t>[Product Details Page] Apple Cinema 30 allows selecting past dates in delivery date field</t>
  </si>
  <si>
    <t>Expected: System should NOT allow selecting past dates and should display validation error
Actual: System allows selecting past dates and proceeds without validation error</t>
  </si>
  <si>
    <t>Video: OC_CART_BUG_002.mp4 (in Bug_Evidences.zip)</t>
  </si>
  <si>
    <t>[Product Details Page] Canon EOS 5D required options are unavailable in select/dropdown field before adding to cart</t>
  </si>
  <si>
    <t>Expected: Required options should be visible and selectable before adding product to cart
Actual: Dropdown/select field is present but no options are available, and system shows "Select required options" message</t>
  </si>
  <si>
    <t>Video: OC_CART_BUG_003.mp4 (in Bug_Evidences.zip)</t>
  </si>
  <si>
    <t>[Product Details Page] Out of Stock "iPhone" product can still be added to cart</t>
  </si>
  <si>
    <t>Expected: System should NOT allow adding the product to the cart and should display an appropriate message
Actual: Product is added to the cart but cannot proceed to checkout</t>
  </si>
  <si>
    <t>Video: OC_CART_BUG_004.mp4 (in Bug_Evidences.zip)</t>
  </si>
  <si>
    <t>[Product Details Page] HP LP3065 allows selecting past dates in Delivery Date field</t>
  </si>
  <si>
    <t>Expected: System should prevent selecting past dates and display an appropriate validation message
Actual: System allows selecting past dates without validation</t>
  </si>
  <si>
    <t>Video: OC_CART_BUG_005.mp4 (in Bug_Evidences.zip)</t>
  </si>
  <si>
    <t>[Shopping Cart Page] System displays success message when quantity = 0 is entered</t>
  </si>
  <si>
    <t>Expected: System should reject quantity value "0", display an appropriate validation message, and prevent displaying a success message or adding the product to the cart
Actual: System displays a success message even though the product is not added to the cart when quantity = 0</t>
  </si>
  <si>
    <t>Video: OC_CART_BUG_006.mp4 (in Bug_Evidences.zip)</t>
  </si>
  <si>
    <t>[Shopping Cart Page] System displays success message when negative quantity is entered</t>
  </si>
  <si>
    <t>Expected: System should reject negative quantity, display validation error message, and should NOT display success message or add product to cart
Actual: System does not add product to cart but incorrectly displays success message</t>
  </si>
  <si>
    <t>Video: OC_CART_BUG_007.mp4 (in Bug_Evidences.zip)</t>
  </si>
  <si>
    <t>[Shopping Cart Page] System displays success message when alphabetic characters are entered in quantity field</t>
  </si>
  <si>
    <t>Expected: System should reject alphabetic input, display a validation error message, and should NOT display a success message or add the product to the cart
Actual: System does not add product to cart but incorrectly displays a success message</t>
  </si>
  <si>
    <t>Video: OC_CART_BUG_008.mp4 (in Bug_Evidences.zip)</t>
  </si>
  <si>
    <t>[Shopping Cart Page] System displays success message when special characters are entered in quantity field</t>
  </si>
  <si>
    <t>Expected: System should reject special character input, display a validation error message, and prevent adding the product to the cart
Actual: System does not add the product to the cart but incorrectly displays a success message</t>
  </si>
  <si>
    <t>Video: OC_CART_BUG_009.mp4 (in Bug_Evidences.zip)</t>
  </si>
  <si>
    <t>[Product Details Page] System allows very large quantity values without proper validation and shows success message</t>
  </si>
  <si>
    <t>Expected: System should either:
Allow the maximum valid quantity within defined limit and add it correctly to the cart
OR
Reject the input and display a proper validation message if it exceeds the allowed limit
Actual: Product is added to cart, but at shopping cart page a message appears: "not available in the desired quantity or not in stock"</t>
  </si>
  <si>
    <t>Video: OC_CART_BUG_010.mp4 (in Bug_Evidences.zip)</t>
  </si>
  <si>
    <t>[Checkout Page] No payment methods are displayed during "MacBook" checkout process</t>
  </si>
  <si>
    <t>Expected: System should display at least one available payment method and allow checkout continuation
Actual: System displays warning message:
"Warning: No Payment options are available"
and checkout cannot continue</t>
  </si>
  <si>
    <t>Video: OC_CART_BUG_011.mp4 (in Bug_Evidences.zip)</t>
  </si>
  <si>
    <t>[Checkout Navigation] Cart quantity temporarily resets to 0 when using Back button but restores after refresh</t>
  </si>
  <si>
    <t>Expected: Cart data should remain unchanged after navigating back from checkout, and previously added products should still be present
Actual: Cart quantity may temporarily display as 0 when navigating back from checkout, but correct values are restored after refreshing or reopening the shopping cart page</t>
  </si>
  <si>
    <t>Video: OC_CART_BUG_012.mp4 (in Bug_Evidences.zip)</t>
  </si>
  <si>
    <t>[Product Details Page] "Product 8" allows Add to Cart despite missing/invalid product details</t>
  </si>
  <si>
    <t>Expected: Product should display valid image and clear product information before being added to cart
Actual: Product is displayed without image and with unclear product name ("Product 8"), but it can still be added to cart</t>
  </si>
  <si>
    <t>Video: OC_CART_BUG_013.mp4 (in Bug_Evidences.zip)</t>
  </si>
  <si>
    <t>Test Execution Dashboard — OpenCart Platform</t>
  </si>
  <si>
    <t xml:space="preserve">  📈  TEST EXECUTION SUMMARY</t>
  </si>
  <si>
    <t xml:space="preserve">  ✅  EXECUTION STATUS TRACKER</t>
  </si>
  <si>
    <t>In Progress</t>
  </si>
  <si>
    <t xml:space="preserve">  📋  TEST PROGRESS</t>
  </si>
  <si>
    <t>Metric</t>
  </si>
  <si>
    <t>Value</t>
  </si>
  <si>
    <t>Formula</t>
  </si>
  <si>
    <t>Pass Rate (%)</t>
  </si>
  <si>
    <t>(Pass / Total) × 100</t>
  </si>
  <si>
    <t>Fail Rate (%)</t>
  </si>
  <si>
    <t>(Fail / Total) × 100</t>
  </si>
  <si>
    <t>Execution Rate (%)</t>
  </si>
  <si>
    <t>(Pass + Fail + Blocked + In Progress) / Total × 100</t>
  </si>
  <si>
    <t>Remaining Cases</t>
  </si>
  <si>
    <t>Not Executed count</t>
  </si>
  <si>
    <t xml:space="preserve">  🐞  BUG / DEFECT SUMMARY</t>
  </si>
  <si>
    <t>Count</t>
  </si>
  <si>
    <t>% of Total</t>
  </si>
  <si>
    <t>Notes</t>
  </si>
  <si>
    <t>Total Bugs Logged</t>
  </si>
  <si>
    <t>All logged defects</t>
  </si>
  <si>
    <t>Critical P0 + High P1 Open</t>
  </si>
  <si>
    <t>Must be ZERO before sign-off</t>
  </si>
  <si>
    <t>Open Bugs (All Priorities)</t>
  </si>
  <si>
    <t>Currently unresolved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</si>
</sst>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h:mm:ss"/>
    <numFmt numFmtId="166" formatCode="0.0\%"/>
  </numFmts>
  <fonts count="44">
    <font>
      <sz val="11.0"/>
      <color theme="1"/>
      <name val="Calibri"/>
      <scheme val="minor"/>
    </font>
    <font>
      <sz val="9.0"/>
      <color theme="1"/>
      <name val="Arial"/>
    </font>
    <font>
      <b/>
      <sz val="13.0"/>
      <color rgb="FFFFFFFF"/>
      <name val="Calibri"/>
    </font>
    <font/>
    <font>
      <b/>
      <sz val="9.0"/>
      <color rgb="FFFFFFFF"/>
      <name val="Arial"/>
    </font>
    <font>
      <sz val="9.0"/>
      <color rgb="FF1A2B3C"/>
      <name val="Arial"/>
    </font>
    <font>
      <u/>
      <sz val="11.0"/>
      <color theme="10"/>
      <name val="Calibri"/>
    </font>
    <font>
      <b/>
      <sz val="9.0"/>
      <color rgb="FF1B3A6B"/>
      <name val="Arial"/>
    </font>
    <font>
      <b/>
      <sz val="9.0"/>
      <color rgb="FFC0392B"/>
      <name val="Arial"/>
    </font>
    <font>
      <sz val="9.0"/>
      <color rgb="FFC0392B"/>
      <name val="Arial"/>
    </font>
    <font>
      <b/>
      <sz val="9.0"/>
      <color rgb="FFD35400"/>
      <name val="Arial"/>
    </font>
    <font>
      <sz val="9.0"/>
      <color rgb="FFD35400"/>
      <name val="Arial"/>
    </font>
    <font>
      <b/>
      <sz val="9.0"/>
      <color rgb="FF1A6FA0"/>
      <name val="Arial"/>
    </font>
    <font>
      <sz val="9.0"/>
      <color rgb="FF1A6FA0"/>
      <name val="Arial"/>
    </font>
    <font>
      <b/>
      <sz val="9.0"/>
      <color rgb="FF1E8449"/>
      <name val="Arial"/>
    </font>
    <font>
      <sz val="9.0"/>
      <color rgb="FF1E8449"/>
      <name val="Arial"/>
    </font>
    <font>
      <b/>
      <sz val="12.0"/>
      <color rgb="FFFFFFFF"/>
      <name val="Arial"/>
    </font>
    <font>
      <sz val="11.0"/>
      <color theme="1"/>
      <name val="Calibri"/>
    </font>
    <font>
      <b/>
      <sz val="20.0"/>
      <color rgb="FFFFFFFF"/>
      <name val="Arial"/>
    </font>
    <font>
      <b/>
      <sz val="14.0"/>
      <color rgb="FFFFFFFF"/>
      <name val="Arial"/>
    </font>
    <font>
      <sz val="11.0"/>
      <color theme="1"/>
      <name val="Arial"/>
    </font>
    <font>
      <b/>
      <sz val="10.0"/>
      <color rgb="FF1E88C8"/>
      <name val="Arial"/>
    </font>
    <font>
      <sz val="10.0"/>
      <color rgb="FF1A2B3C"/>
      <name val="Arial"/>
    </font>
    <font>
      <b/>
      <sz val="10.0"/>
      <color rgb="FFC0392B"/>
      <name val="Arial"/>
    </font>
    <font>
      <b/>
      <sz val="10.0"/>
      <color rgb="FFFFFFFF"/>
      <name val="Arial"/>
    </font>
    <font>
      <b/>
      <sz val="10.0"/>
      <color rgb="FFD35400"/>
      <name val="Arial"/>
    </font>
    <font>
      <b/>
      <sz val="10.0"/>
      <color rgb="FF1F618D"/>
      <name val="Arial"/>
    </font>
    <font>
      <b/>
      <sz val="10.0"/>
      <color rgb="FF1E8449"/>
      <name val="Arial"/>
    </font>
    <font>
      <b/>
      <sz val="10.0"/>
      <color rgb="FFFFFFFF"/>
      <name val="Calibri"/>
    </font>
    <font>
      <b/>
      <sz val="11.0"/>
      <color rgb="FF1E88C8"/>
      <name val="Calibri"/>
    </font>
    <font>
      <sz val="11.0"/>
      <color rgb="FF1A2B3C"/>
      <name val="Calibri"/>
    </font>
    <font>
      <b/>
      <sz val="11.0"/>
      <color rgb="FF276221"/>
      <name val="Calibri"/>
    </font>
    <font>
      <b/>
      <sz val="9.0"/>
      <color rgb="FF1E88C8"/>
      <name val="Arial"/>
    </font>
    <font>
      <b/>
      <sz val="10.0"/>
      <color rgb="FF1E88C8"/>
      <name val="Calibri"/>
    </font>
    <font>
      <sz val="10.0"/>
      <color theme="1"/>
      <name val="Calibri"/>
    </font>
    <font>
      <b/>
      <sz val="10.0"/>
      <color rgb="FF1A2B3C"/>
      <name val="Calibri"/>
    </font>
    <font>
      <b/>
      <sz val="10.0"/>
      <color rgb="FFC0392B"/>
      <name val="Calibri"/>
    </font>
    <font>
      <b/>
      <sz val="10.0"/>
      <color rgb="FFD35400"/>
      <name val="Calibri"/>
    </font>
    <font>
      <b/>
      <sz val="10.0"/>
      <color rgb="FF1F618D"/>
      <name val="Calibri"/>
    </font>
    <font>
      <b/>
      <sz val="10.0"/>
      <color rgb="FF1E8449"/>
      <name val="Calibri"/>
    </font>
    <font>
      <color theme="1"/>
      <name val="Calibri"/>
      <scheme val="minor"/>
    </font>
    <font>
      <b/>
      <sz val="12.0"/>
      <color rgb="FF1A2B3C"/>
      <name val="Arial"/>
    </font>
    <font>
      <b/>
      <sz val="16.0"/>
      <color rgb="FFFFFFFF"/>
      <name val="Arial"/>
    </font>
    <font>
      <b/>
      <sz val="14.0"/>
      <color rgb="FF1A2B3C"/>
      <name val="Arial"/>
    </font>
  </fonts>
  <fills count="26">
    <fill>
      <patternFill patternType="none"/>
    </fill>
    <fill>
      <patternFill patternType="lightGray"/>
    </fill>
    <fill>
      <patternFill patternType="solid">
        <fgColor rgb="FF1A3A5C"/>
        <bgColor rgb="FF1A3A5C"/>
      </patternFill>
    </fill>
    <fill>
      <patternFill patternType="solid">
        <fgColor rgb="FF1E88C8"/>
        <bgColor rgb="FF1E88C8"/>
      </patternFill>
    </fill>
    <fill>
      <patternFill patternType="solid">
        <fgColor rgb="FF2EA6D5"/>
        <bgColor rgb="FF2EA6D5"/>
      </patternFill>
    </fill>
    <fill>
      <patternFill patternType="solid">
        <fgColor rgb="FFE8F4FB"/>
        <bgColor rgb="FFE8F4FB"/>
      </patternFill>
    </fill>
    <fill>
      <patternFill patternType="solid">
        <fgColor rgb="FFF4F9FD"/>
        <bgColor rgb="FFF4F9FD"/>
      </patternFill>
    </fill>
    <fill>
      <patternFill patternType="solid">
        <fgColor theme="0"/>
        <bgColor theme="0"/>
      </patternFill>
    </fill>
    <fill>
      <patternFill patternType="solid">
        <fgColor rgb="FF0099CC"/>
        <bgColor rgb="FF0099CC"/>
      </patternFill>
    </fill>
    <fill>
      <patternFill patternType="solid">
        <fgColor rgb="FFFADBD8"/>
        <bgColor rgb="FFFADBD8"/>
      </patternFill>
    </fill>
    <fill>
      <patternFill patternType="solid">
        <fgColor rgb="FFFEF5E7"/>
        <bgColor rgb="FFFEF5E7"/>
      </patternFill>
    </fill>
    <fill>
      <patternFill patternType="solid">
        <fgColor rgb="FFD6EAF8"/>
        <bgColor rgb="FFD6EAF8"/>
      </patternFill>
    </fill>
    <fill>
      <patternFill patternType="solid">
        <fgColor rgb="FFD5F5E3"/>
        <bgColor rgb="FFD5F5E3"/>
      </patternFill>
    </fill>
    <fill>
      <patternFill patternType="solid">
        <fgColor rgb="FF2E75B6"/>
        <bgColor rgb="FF2E75B6"/>
      </patternFill>
    </fill>
    <fill>
      <patternFill patternType="solid">
        <fgColor rgb="FFFFE0E0"/>
        <bgColor rgb="FFFFE0E0"/>
      </patternFill>
    </fill>
    <fill>
      <patternFill patternType="solid">
        <fgColor rgb="FF00B050"/>
        <bgColor rgb="FF00B050"/>
      </patternFill>
    </fill>
    <fill>
      <patternFill patternType="solid">
        <fgColor rgb="FFFF0000"/>
        <bgColor rgb="FFFF0000"/>
      </patternFill>
    </fill>
    <fill>
      <patternFill patternType="solid">
        <fgColor rgb="FFFDE8C8"/>
        <bgColor rgb="FFFDE8C8"/>
      </patternFill>
    </fill>
    <fill>
      <patternFill patternType="solid">
        <fgColor rgb="FFFF6600"/>
        <bgColor rgb="FFFF6600"/>
      </patternFill>
    </fill>
    <fill>
      <patternFill patternType="solid">
        <fgColor rgb="FF808080"/>
        <bgColor rgb="FF808080"/>
      </patternFill>
    </fill>
    <fill>
      <patternFill patternType="solid">
        <fgColor rgb="FFC6EFCE"/>
        <bgColor rgb="FFC6EFCE"/>
      </patternFill>
    </fill>
    <fill>
      <patternFill patternType="solid">
        <fgColor rgb="FFC0392B"/>
        <bgColor rgb="FFC0392B"/>
      </patternFill>
    </fill>
    <fill>
      <patternFill patternType="solid">
        <fgColor rgb="FFD35400"/>
        <bgColor rgb="FFD35400"/>
      </patternFill>
    </fill>
    <fill>
      <patternFill patternType="solid">
        <fgColor rgb="FF1A6FA0"/>
        <bgColor rgb="FF1A6FA0"/>
      </patternFill>
    </fill>
    <fill>
      <patternFill patternType="solid">
        <fgColor rgb="FF1E8449"/>
        <bgColor rgb="FF1E8449"/>
      </patternFill>
    </fill>
    <fill>
      <patternFill patternType="solid">
        <fgColor rgb="FFF2F3F4"/>
        <bgColor rgb="FFF2F3F4"/>
      </patternFill>
    </fill>
  </fills>
  <borders count="16">
    <border/>
    <border>
      <left style="thin">
        <color rgb="FFC5D8E8"/>
      </left>
      <top style="thin">
        <color rgb="FFC5D8E8"/>
      </top>
      <bottom style="thin">
        <color rgb="FFC5D8E8"/>
      </bottom>
    </border>
    <border>
      <top style="thin">
        <color rgb="FFC5D8E8"/>
      </top>
      <bottom style="thin">
        <color rgb="FFC5D8E8"/>
      </bottom>
    </border>
    <border>
      <right style="thin">
        <color rgb="FFC5D8E8"/>
      </right>
      <top style="thin">
        <color rgb="FFC5D8E8"/>
      </top>
      <bottom style="thin">
        <color rgb="FFC5D8E8"/>
      </bottom>
    </border>
    <border>
      <left style="thin">
        <color rgb="FFC5D8E8"/>
      </left>
      <right style="thin">
        <color rgb="FFC5D8E8"/>
      </right>
      <top style="thin">
        <color rgb="FFC5D8E8"/>
      </top>
      <bottom style="thin">
        <color rgb="FFC5D8E8"/>
      </bottom>
    </border>
    <border>
      <right style="thin">
        <color rgb="FFBFBFBF"/>
      </right>
      <top style="thin">
        <color rgb="FFC5D8E8"/>
      </top>
      <bottom style="thin">
        <color rgb="FFC5D8E8"/>
      </bottom>
    </border>
    <border>
      <left style="thin">
        <color rgb="FFBFBFBF"/>
      </left>
      <top/>
      <bottom/>
    </border>
    <border>
      <top/>
      <bottom/>
    </border>
    <border>
      <right style="thin">
        <color rgb="FFBFBFBF"/>
      </right>
      <top/>
      <bottom/>
    </border>
    <border>
      <left/>
      <top/>
      <bottom/>
    </border>
    <border>
      <right/>
      <top/>
      <bottom/>
    </border>
    <border>
      <left/>
      <right/>
      <top/>
      <bottom/>
    </border>
    <border>
      <left style="thin">
        <color rgb="FFBFCCD9"/>
      </left>
      <right style="thin">
        <color rgb="FFBFCCD9"/>
      </right>
      <top style="thin">
        <color rgb="FFBFCCD9"/>
      </top>
      <bottom/>
    </border>
    <border>
      <right/>
      <top style="thin">
        <color rgb="FFC5D8E8"/>
      </top>
      <bottom style="thin">
        <color rgb="FFC5D8E8"/>
      </bottom>
    </border>
    <border>
      <left style="thin">
        <color rgb="FFBFD7EA"/>
      </left>
      <right style="thin">
        <color rgb="FFBFD7EA"/>
      </right>
      <top style="thin">
        <color rgb="FFBFD7EA"/>
      </top>
      <bottom/>
    </border>
    <border>
      <right style="thin">
        <color rgb="FFCCCCCC"/>
      </right>
      <top style="thin">
        <color rgb="FFC5D8E8"/>
      </top>
      <bottom style="thin">
        <color rgb="FFC5D8E8"/>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left" shrinkToFit="0" vertical="center" wrapText="1"/>
    </xf>
    <xf borderId="4" fillId="4" fontId="4" numFmtId="0" xfId="0" applyAlignment="1" applyBorder="1" applyFill="1" applyFont="1">
      <alignment horizontal="left" shrinkToFit="0" vertical="center" wrapText="1"/>
    </xf>
    <xf borderId="4" fillId="5" fontId="5" numFmtId="0" xfId="0" applyAlignment="1" applyBorder="1" applyFill="1" applyFont="1">
      <alignment horizontal="left" shrinkToFit="0" vertical="center" wrapText="1"/>
    </xf>
    <xf borderId="1" fillId="5" fontId="5" numFmtId="0" xfId="0" applyAlignment="1" applyBorder="1" applyFont="1">
      <alignment horizontal="left" shrinkToFit="0" vertical="center" wrapText="1"/>
    </xf>
    <xf borderId="5" fillId="0" fontId="3" numFmtId="0" xfId="0" applyBorder="1" applyFont="1"/>
    <xf borderId="4" fillId="6" fontId="5" numFmtId="0" xfId="0" applyAlignment="1" applyBorder="1" applyFill="1" applyFont="1">
      <alignment horizontal="left" shrinkToFit="0" vertical="center" wrapText="1"/>
    </xf>
    <xf borderId="1" fillId="6" fontId="5"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1" fillId="5" fontId="5" numFmtId="164" xfId="0" applyAlignment="1" applyBorder="1" applyFont="1" applyNumberFormat="1">
      <alignment horizontal="left" shrinkToFit="0" vertical="center" wrapText="1"/>
    </xf>
    <xf borderId="1" fillId="6" fontId="5" numFmtId="164" xfId="0" applyAlignment="1" applyBorder="1" applyFont="1" applyNumberFormat="1">
      <alignment horizontal="left" shrinkToFit="0" vertical="center" wrapText="1"/>
    </xf>
    <xf borderId="6" fillId="7" fontId="7"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4" fillId="8" fontId="4" numFmtId="0" xfId="0" applyAlignment="1" applyBorder="1" applyFill="1" applyFont="1">
      <alignment horizontal="center" shrinkToFit="0" vertical="center" wrapText="1"/>
    </xf>
    <xf borderId="1" fillId="8" fontId="4" numFmtId="0" xfId="0" applyAlignment="1" applyBorder="1" applyFont="1">
      <alignment horizontal="center" shrinkToFit="0" vertical="center" wrapText="1"/>
    </xf>
    <xf borderId="4" fillId="9" fontId="8" numFmtId="0" xfId="0" applyAlignment="1" applyBorder="1" applyFill="1" applyFont="1">
      <alignment horizontal="left" shrinkToFit="0" vertical="center" wrapText="1"/>
    </xf>
    <xf borderId="4" fillId="9" fontId="9" numFmtId="0" xfId="0" applyAlignment="1" applyBorder="1" applyFont="1">
      <alignment horizontal="center" shrinkToFit="0" vertical="center" wrapText="1"/>
    </xf>
    <xf borderId="1" fillId="9" fontId="9" numFmtId="0" xfId="0" applyAlignment="1" applyBorder="1" applyFont="1">
      <alignment horizontal="left" shrinkToFit="0" vertical="center" wrapText="1"/>
    </xf>
    <xf borderId="4" fillId="10" fontId="10" numFmtId="0" xfId="0" applyAlignment="1" applyBorder="1" applyFill="1" applyFont="1">
      <alignment horizontal="left" shrinkToFit="0" vertical="center" wrapText="1"/>
    </xf>
    <xf borderId="4" fillId="10" fontId="11" numFmtId="0" xfId="0" applyAlignment="1" applyBorder="1" applyFont="1">
      <alignment horizontal="center" shrinkToFit="0" vertical="center" wrapText="1"/>
    </xf>
    <xf borderId="1" fillId="10" fontId="11" numFmtId="0" xfId="0" applyAlignment="1" applyBorder="1" applyFont="1">
      <alignment horizontal="left" shrinkToFit="0" vertical="center" wrapText="1"/>
    </xf>
    <xf borderId="4" fillId="11" fontId="12" numFmtId="0" xfId="0" applyAlignment="1" applyBorder="1" applyFill="1" applyFont="1">
      <alignment horizontal="left" shrinkToFit="0" vertical="center" wrapText="1"/>
    </xf>
    <xf borderId="4" fillId="11" fontId="13" numFmtId="0" xfId="0" applyAlignment="1" applyBorder="1" applyFont="1">
      <alignment horizontal="center" shrinkToFit="0" vertical="center" wrapText="1"/>
    </xf>
    <xf borderId="1" fillId="11" fontId="13" numFmtId="0" xfId="0" applyAlignment="1" applyBorder="1" applyFont="1">
      <alignment horizontal="left" shrinkToFit="0" vertical="center" wrapText="1"/>
    </xf>
    <xf borderId="4" fillId="12" fontId="14" numFmtId="0" xfId="0" applyAlignment="1" applyBorder="1" applyFill="1" applyFont="1">
      <alignment horizontal="left" shrinkToFit="0" vertical="center" wrapText="1"/>
    </xf>
    <xf borderId="4" fillId="12" fontId="15" numFmtId="0" xfId="0" applyAlignment="1" applyBorder="1" applyFont="1">
      <alignment horizontal="center" shrinkToFit="0" vertical="center" wrapText="1"/>
    </xf>
    <xf borderId="1" fillId="12" fontId="15" numFmtId="0" xfId="0" applyAlignment="1" applyBorder="1" applyFont="1">
      <alignment horizontal="left" shrinkToFit="0" vertical="center" wrapText="1"/>
    </xf>
    <xf borderId="9" fillId="7" fontId="16" numFmtId="0" xfId="0" applyAlignment="1" applyBorder="1" applyFont="1">
      <alignment horizontal="left" shrinkToFit="0" vertical="center" wrapText="1"/>
    </xf>
    <xf borderId="10" fillId="0" fontId="3" numFmtId="0" xfId="0" applyBorder="1" applyFont="1"/>
    <xf borderId="0" fillId="0" fontId="17" numFmtId="0" xfId="0" applyAlignment="1" applyFont="1">
      <alignment horizontal="left" vertical="center"/>
    </xf>
    <xf borderId="9" fillId="2" fontId="18" numFmtId="0" xfId="0" applyAlignment="1" applyBorder="1" applyFont="1">
      <alignment horizontal="center" shrinkToFit="0" vertical="center" wrapText="1"/>
    </xf>
    <xf borderId="11" fillId="7" fontId="18" numFmtId="0" xfId="0" applyAlignment="1" applyBorder="1" applyFont="1">
      <alignment horizontal="center" shrinkToFit="0" vertical="center" wrapText="1"/>
    </xf>
    <xf borderId="11" fillId="13" fontId="19" numFmtId="0" xfId="0" applyAlignment="1" applyBorder="1" applyFill="1" applyFont="1">
      <alignment horizontal="center" shrinkToFit="0" vertical="center" wrapText="1"/>
    </xf>
    <xf borderId="11" fillId="13" fontId="19" numFmtId="0" xfId="0" applyAlignment="1" applyBorder="1" applyFont="1">
      <alignment horizontal="left" shrinkToFit="0" vertical="center" wrapText="1"/>
    </xf>
    <xf borderId="11" fillId="7" fontId="20" numFmtId="0" xfId="0" applyAlignment="1" applyBorder="1" applyFont="1">
      <alignment horizontal="center" shrinkToFit="0" vertical="center" wrapText="1"/>
    </xf>
    <xf borderId="11" fillId="6" fontId="21" numFmtId="0" xfId="0" applyAlignment="1" applyBorder="1" applyFont="1">
      <alignment horizontal="center" shrinkToFit="0" vertical="center" wrapText="1"/>
    </xf>
    <xf borderId="11" fillId="6" fontId="22" numFmtId="0" xfId="0" applyAlignment="1" applyBorder="1" applyFont="1">
      <alignment horizontal="left" shrinkToFit="0" vertical="center" wrapText="1"/>
    </xf>
    <xf borderId="11" fillId="6" fontId="22" numFmtId="0" xfId="0" applyAlignment="1" applyBorder="1" applyFont="1">
      <alignment horizontal="center" shrinkToFit="0" vertical="center" wrapText="1"/>
    </xf>
    <xf borderId="11" fillId="14" fontId="23" numFmtId="0" xfId="0" applyAlignment="1" applyBorder="1" applyFill="1" applyFont="1">
      <alignment horizontal="center" shrinkToFit="0" vertical="center" wrapText="1"/>
    </xf>
    <xf borderId="11" fillId="15" fontId="24" numFmtId="0" xfId="0" applyAlignment="1" applyBorder="1" applyFill="1" applyFont="1">
      <alignment horizontal="center" shrinkToFit="0" vertical="center" wrapText="1"/>
    </xf>
    <xf borderId="11" fillId="6" fontId="22" numFmtId="164" xfId="0" applyAlignment="1" applyBorder="1" applyFont="1" applyNumberFormat="1">
      <alignment horizontal="center" shrinkToFit="0" vertical="center" wrapText="1"/>
    </xf>
    <xf borderId="11" fillId="5" fontId="21" numFmtId="0" xfId="0" applyAlignment="1" applyBorder="1" applyFont="1">
      <alignment horizontal="center" shrinkToFit="0" vertical="center" wrapText="1"/>
    </xf>
    <xf borderId="11" fillId="5" fontId="22" numFmtId="0" xfId="0" applyAlignment="1" applyBorder="1" applyFont="1">
      <alignment horizontal="left" shrinkToFit="0" vertical="center" wrapText="1"/>
    </xf>
    <xf borderId="11" fillId="5" fontId="22" numFmtId="0" xfId="0" applyAlignment="1" applyBorder="1" applyFont="1">
      <alignment horizontal="center" shrinkToFit="0" vertical="center" wrapText="1"/>
    </xf>
    <xf borderId="11" fillId="16" fontId="24" numFmtId="0" xfId="0" applyAlignment="1" applyBorder="1" applyFill="1" applyFont="1">
      <alignment horizontal="center" shrinkToFit="0" vertical="center" wrapText="1"/>
    </xf>
    <xf borderId="11" fillId="5" fontId="22" numFmtId="164" xfId="0" applyAlignment="1" applyBorder="1" applyFont="1" applyNumberFormat="1">
      <alignment horizontal="center" shrinkToFit="0" vertical="center" wrapText="1"/>
    </xf>
    <xf borderId="11" fillId="17" fontId="25" numFmtId="0" xfId="0" applyAlignment="1" applyBorder="1" applyFill="1" applyFont="1">
      <alignment horizontal="center" shrinkToFit="0" vertical="center" wrapText="1"/>
    </xf>
    <xf borderId="11" fillId="18" fontId="24" numFmtId="0" xfId="0" applyAlignment="1" applyBorder="1" applyFill="1" applyFont="1">
      <alignment horizontal="center" shrinkToFit="0" vertical="center" wrapText="1"/>
    </xf>
    <xf borderId="11" fillId="11" fontId="26" numFmtId="0" xfId="0" applyAlignment="1" applyBorder="1" applyFont="1">
      <alignment horizontal="center" shrinkToFit="0" vertical="center" wrapText="1"/>
    </xf>
    <xf borderId="11" fillId="7" fontId="20" numFmtId="0" xfId="0" applyAlignment="1" applyBorder="1" applyFont="1">
      <alignment horizontal="center" readingOrder="0" shrinkToFit="0" vertical="center" wrapText="1"/>
    </xf>
    <xf borderId="11" fillId="12" fontId="27" numFmtId="0" xfId="0" applyAlignment="1" applyBorder="1" applyFont="1">
      <alignment horizontal="center" shrinkToFit="0" vertical="center" wrapText="1"/>
    </xf>
    <xf borderId="11" fillId="6" fontId="22" numFmtId="0" xfId="0" applyAlignment="1" applyBorder="1" applyFont="1">
      <alignment horizontal="left" readingOrder="0" shrinkToFit="0" vertical="center" wrapText="1"/>
    </xf>
    <xf borderId="11" fillId="19" fontId="24" numFmtId="0" xfId="0" applyAlignment="1" applyBorder="1" applyFill="1" applyFont="1">
      <alignment horizontal="center" shrinkToFit="0" vertical="center" wrapText="1"/>
    </xf>
    <xf borderId="11" fillId="7" fontId="17" numFmtId="0" xfId="0" applyBorder="1" applyFont="1"/>
    <xf borderId="0" fillId="0" fontId="17" numFmtId="0" xfId="0" applyAlignment="1" applyFont="1">
      <alignment horizontal="center"/>
    </xf>
    <xf borderId="0" fillId="0" fontId="17" numFmtId="0" xfId="0" applyAlignment="1" applyFont="1">
      <alignment horizontal="left"/>
    </xf>
    <xf borderId="0" fillId="0" fontId="17" numFmtId="0" xfId="0" applyAlignment="1" applyFont="1">
      <alignment horizontal="center" vertical="center"/>
    </xf>
    <xf borderId="12" fillId="13" fontId="28" numFmtId="0" xfId="0" applyAlignment="1" applyBorder="1" applyFont="1">
      <alignment horizontal="center" shrinkToFit="0" vertical="center" wrapText="1"/>
    </xf>
    <xf borderId="11" fillId="5" fontId="29" numFmtId="0" xfId="0" applyAlignment="1" applyBorder="1" applyFont="1">
      <alignment horizontal="left" vertical="center"/>
    </xf>
    <xf borderId="11" fillId="5" fontId="30" numFmtId="0" xfId="0" applyAlignment="1" applyBorder="1" applyFont="1">
      <alignment horizontal="center" shrinkToFit="0" vertical="center" wrapText="1"/>
    </xf>
    <xf borderId="11" fillId="20" fontId="31" numFmtId="9" xfId="0" applyAlignment="1" applyBorder="1" applyFill="1" applyFont="1" applyNumberFormat="1">
      <alignment horizontal="center" shrinkToFit="0" vertical="center" wrapText="1"/>
    </xf>
    <xf borderId="11" fillId="6" fontId="29" numFmtId="0" xfId="0" applyAlignment="1" applyBorder="1" applyFont="1">
      <alignment horizontal="left" vertical="center"/>
    </xf>
    <xf borderId="11" fillId="6" fontId="30" numFmtId="0" xfId="0" applyAlignment="1" applyBorder="1" applyFont="1">
      <alignment horizontal="center" shrinkToFit="0" vertical="center" wrapText="1"/>
    </xf>
    <xf borderId="11" fillId="7" fontId="32" numFmtId="0" xfId="0" applyAlignment="1" applyBorder="1" applyFont="1">
      <alignment horizontal="center" shrinkToFit="0" vertical="center" wrapText="1"/>
    </xf>
    <xf borderId="11" fillId="7" fontId="5" numFmtId="0" xfId="0" applyAlignment="1" applyBorder="1" applyFont="1">
      <alignment horizontal="center" shrinkToFit="0" vertical="center" wrapText="1"/>
    </xf>
    <xf borderId="11" fillId="7" fontId="31" numFmtId="0" xfId="0" applyAlignment="1" applyBorder="1" applyFont="1">
      <alignment horizontal="center" vertical="center"/>
    </xf>
    <xf borderId="1" fillId="2" fontId="2" numFmtId="0" xfId="0" applyAlignment="1" applyBorder="1" applyFont="1">
      <alignment horizontal="center" vertical="center"/>
    </xf>
    <xf borderId="13" fillId="0" fontId="3" numFmtId="0" xfId="0" applyBorder="1" applyFont="1"/>
    <xf borderId="14" fillId="13" fontId="28" numFmtId="0" xfId="0" applyAlignment="1" applyBorder="1" applyFont="1">
      <alignment horizontal="center" vertical="center"/>
    </xf>
    <xf borderId="11" fillId="6" fontId="33" numFmtId="0" xfId="0" applyAlignment="1" applyBorder="1" applyFont="1">
      <alignment horizontal="left" shrinkToFit="0" vertical="top" wrapText="1"/>
    </xf>
    <xf borderId="11" fillId="6" fontId="34" numFmtId="0" xfId="0" applyAlignment="1" applyBorder="1" applyFont="1">
      <alignment horizontal="left" shrinkToFit="0" vertical="top" wrapText="1"/>
    </xf>
    <xf borderId="11" fillId="6" fontId="35" numFmtId="0" xfId="0" applyAlignment="1" applyBorder="1" applyFont="1">
      <alignment horizontal="left" shrinkToFit="0" vertical="top" wrapText="1"/>
    </xf>
    <xf borderId="11" fillId="14" fontId="36" numFmtId="0" xfId="0" applyAlignment="1" applyBorder="1" applyFont="1">
      <alignment horizontal="center" vertical="center"/>
    </xf>
    <xf borderId="11" fillId="16" fontId="28" numFmtId="0" xfId="0" applyAlignment="1" applyBorder="1" applyFont="1">
      <alignment horizontal="center" vertical="center"/>
    </xf>
    <xf borderId="11" fillId="6" fontId="34" numFmtId="164" xfId="0" applyAlignment="1" applyBorder="1" applyFont="1" applyNumberFormat="1">
      <alignment horizontal="left" shrinkToFit="0" vertical="top" wrapText="1"/>
    </xf>
    <xf borderId="11" fillId="5" fontId="33" numFmtId="0" xfId="0" applyAlignment="1" applyBorder="1" applyFont="1">
      <alignment horizontal="left" shrinkToFit="0" vertical="top" wrapText="1"/>
    </xf>
    <xf borderId="11" fillId="5" fontId="34" numFmtId="0" xfId="0" applyAlignment="1" applyBorder="1" applyFont="1">
      <alignment horizontal="left" shrinkToFit="0" vertical="top" wrapText="1"/>
    </xf>
    <xf borderId="11" fillId="5" fontId="35" numFmtId="0" xfId="0" applyAlignment="1" applyBorder="1" applyFont="1">
      <alignment horizontal="left" shrinkToFit="0" vertical="top" wrapText="1"/>
    </xf>
    <xf borderId="11" fillId="17" fontId="37" numFmtId="0" xfId="0" applyAlignment="1" applyBorder="1" applyFont="1">
      <alignment horizontal="center" vertical="center"/>
    </xf>
    <xf borderId="11" fillId="5" fontId="34" numFmtId="164" xfId="0" applyAlignment="1" applyBorder="1" applyFont="1" applyNumberFormat="1">
      <alignment horizontal="left" shrinkToFit="0" vertical="top" wrapText="1"/>
    </xf>
    <xf borderId="11" fillId="11" fontId="38" numFmtId="0" xfId="0" applyAlignment="1" applyBorder="1" applyFont="1">
      <alignment horizontal="center" vertical="center"/>
    </xf>
    <xf borderId="11" fillId="12" fontId="39" numFmtId="0" xfId="0" applyAlignment="1" applyBorder="1" applyFont="1">
      <alignment horizontal="center" vertical="center"/>
    </xf>
    <xf borderId="11" fillId="5" fontId="34" numFmtId="165" xfId="0" applyAlignment="1" applyBorder="1" applyFont="1" applyNumberFormat="1">
      <alignment horizontal="left" shrinkToFit="0" vertical="top" wrapText="1"/>
    </xf>
    <xf borderId="11" fillId="6" fontId="34" numFmtId="165" xfId="0" applyAlignment="1" applyBorder="1" applyFont="1" applyNumberFormat="1">
      <alignment horizontal="left" shrinkToFit="0" vertical="top" wrapText="1"/>
    </xf>
    <xf borderId="0" fillId="0" fontId="17" numFmtId="0" xfId="0" applyAlignment="1" applyFont="1">
      <alignment vertical="center"/>
    </xf>
    <xf borderId="0" fillId="0" fontId="40" numFmtId="0" xfId="0" applyFont="1"/>
    <xf borderId="1" fillId="3" fontId="16" numFmtId="0" xfId="0" applyAlignment="1" applyBorder="1" applyFont="1">
      <alignment horizontal="center" shrinkToFit="0" vertical="center" wrapText="1"/>
    </xf>
    <xf borderId="11" fillId="4" fontId="16" numFmtId="0" xfId="0" applyAlignment="1" applyBorder="1" applyFont="1">
      <alignment horizontal="center" shrinkToFit="0" vertical="center" wrapText="1"/>
    </xf>
    <xf borderId="11" fillId="9" fontId="41" numFmtId="0" xfId="0" applyAlignment="1" applyBorder="1" applyFont="1">
      <alignment horizontal="center" shrinkToFit="0" vertical="center" wrapText="1"/>
    </xf>
    <xf borderId="11" fillId="10" fontId="41" numFmtId="0" xfId="0" applyAlignment="1" applyBorder="1" applyFont="1">
      <alignment horizontal="center" shrinkToFit="0" vertical="center" wrapText="1"/>
    </xf>
    <xf borderId="11" fillId="11" fontId="41" numFmtId="0" xfId="0" applyAlignment="1" applyBorder="1" applyFont="1">
      <alignment horizontal="center" shrinkToFit="0" vertical="center" wrapText="1"/>
    </xf>
    <xf borderId="11" fillId="12" fontId="41" numFmtId="0" xfId="0" applyAlignment="1" applyBorder="1" applyFont="1">
      <alignment horizontal="center" shrinkToFit="0" vertical="center" wrapText="1"/>
    </xf>
    <xf borderId="11" fillId="8" fontId="42" numFmtId="0" xfId="0" applyAlignment="1" applyBorder="1" applyFont="1">
      <alignment horizontal="center" shrinkToFit="0" vertical="center" wrapText="1"/>
    </xf>
    <xf borderId="11" fillId="21" fontId="42" numFmtId="0" xfId="0" applyAlignment="1" applyBorder="1" applyFill="1" applyFont="1">
      <alignment horizontal="center" shrinkToFit="0" vertical="center" wrapText="1"/>
    </xf>
    <xf borderId="11" fillId="22" fontId="42" numFmtId="0" xfId="0" applyAlignment="1" applyBorder="1" applyFill="1" applyFont="1">
      <alignment horizontal="center" shrinkToFit="0" vertical="center" wrapText="1"/>
    </xf>
    <xf borderId="11" fillId="23" fontId="42" numFmtId="0" xfId="0" applyAlignment="1" applyBorder="1" applyFill="1" applyFont="1">
      <alignment horizontal="center" shrinkToFit="0" vertical="center" wrapText="1"/>
    </xf>
    <xf borderId="11" fillId="24" fontId="42" numFmtId="0" xfId="0" applyAlignment="1" applyBorder="1" applyFill="1" applyFont="1">
      <alignment horizontal="center" shrinkToFit="0" vertical="center" wrapText="1"/>
    </xf>
    <xf borderId="11" fillId="25" fontId="41" numFmtId="0" xfId="0" applyAlignment="1" applyBorder="1" applyFill="1" applyFont="1">
      <alignment horizontal="center" shrinkToFit="0" vertical="center" wrapText="1"/>
    </xf>
    <xf borderId="11" fillId="12" fontId="43" numFmtId="0" xfId="0" applyAlignment="1" applyBorder="1" applyFont="1">
      <alignment horizontal="center" shrinkToFit="0" vertical="center" wrapText="1"/>
    </xf>
    <xf borderId="11" fillId="9" fontId="43" numFmtId="0" xfId="0" applyAlignment="1" applyBorder="1" applyFont="1">
      <alignment horizontal="center" shrinkToFit="0" vertical="center" wrapText="1"/>
    </xf>
    <xf borderId="11" fillId="10" fontId="43" numFmtId="0" xfId="0" applyAlignment="1" applyBorder="1" applyFont="1">
      <alignment horizontal="center" shrinkToFit="0" vertical="center" wrapText="1"/>
    </xf>
    <xf borderId="11" fillId="25" fontId="43" numFmtId="0" xfId="0" applyAlignment="1" applyBorder="1" applyFont="1">
      <alignment horizontal="center" shrinkToFit="0" vertical="center" wrapText="1"/>
    </xf>
    <xf borderId="11" fillId="11" fontId="43" numFmtId="0" xfId="0" applyAlignment="1" applyBorder="1" applyFont="1">
      <alignment horizontal="center" shrinkToFit="0" vertical="center" wrapText="1"/>
    </xf>
    <xf borderId="4" fillId="8" fontId="16" numFmtId="0" xfId="0" applyAlignment="1" applyBorder="1" applyFont="1">
      <alignment horizontal="center" shrinkToFit="0" vertical="center" wrapText="1"/>
    </xf>
    <xf borderId="1" fillId="8" fontId="16" numFmtId="0" xfId="0" applyAlignment="1" applyBorder="1" applyFont="1">
      <alignment horizontal="center" shrinkToFit="0" vertical="center" wrapText="1"/>
    </xf>
    <xf borderId="4" fillId="5" fontId="32" numFmtId="0" xfId="0" applyAlignment="1" applyBorder="1" applyFont="1">
      <alignment horizontal="left" shrinkToFit="0" vertical="center" wrapText="1"/>
    </xf>
    <xf borderId="4" fillId="5" fontId="5" numFmtId="2" xfId="0" applyAlignment="1" applyBorder="1" applyFont="1" applyNumberFormat="1">
      <alignment horizontal="center" shrinkToFit="0" vertical="center" wrapText="1"/>
    </xf>
    <xf borderId="15" fillId="0" fontId="3" numFmtId="0" xfId="0" applyBorder="1" applyFont="1"/>
    <xf borderId="4" fillId="6" fontId="32" numFmtId="0" xfId="0" applyAlignment="1" applyBorder="1" applyFont="1">
      <alignment horizontal="left" shrinkToFit="0" vertical="center" wrapText="1"/>
    </xf>
    <xf borderId="4" fillId="6" fontId="5" numFmtId="2" xfId="0" applyAlignment="1" applyBorder="1" applyFont="1" applyNumberFormat="1">
      <alignment horizontal="center" shrinkToFit="0" vertical="center" wrapText="1"/>
    </xf>
    <xf borderId="4" fillId="5" fontId="5" numFmtId="0" xfId="0" applyAlignment="1" applyBorder="1" applyFont="1">
      <alignment horizontal="center" vertical="center"/>
    </xf>
    <xf borderId="4" fillId="6" fontId="5" numFmtId="0" xfId="0" applyAlignment="1" applyBorder="1" applyFont="1">
      <alignment horizontal="center" vertical="center"/>
    </xf>
    <xf borderId="4" fillId="6" fontId="5" numFmtId="166" xfId="0" applyAlignment="1" applyBorder="1" applyFont="1" applyNumberFormat="1">
      <alignment horizontal="center" vertical="center"/>
    </xf>
    <xf borderId="4" fillId="5" fontId="5" numFmtId="166"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wesomeqa.com/ui/index.php?route=account/registe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A5C"/>
    <pageSetUpPr/>
  </sheetPr>
  <sheetViews>
    <sheetView showGridLines="0" workbookViewId="0"/>
  </sheetViews>
  <sheetFormatPr customHeight="1" defaultColWidth="14.43" defaultRowHeight="15.0"/>
  <cols>
    <col customWidth="1" min="1" max="1" width="8.0"/>
    <col customWidth="1" min="2" max="2" width="40.0"/>
    <col customWidth="1" min="3" max="3" width="53.43"/>
    <col customWidth="1" min="4" max="4" width="19.71"/>
    <col customWidth="1" min="5" max="5" width="40.0"/>
    <col customWidth="1" min="6" max="6" width="21.29"/>
    <col customWidth="1" min="7" max="26" width="8.71"/>
  </cols>
  <sheetData>
    <row r="1" ht="32.25" customHeight="1">
      <c r="A1" s="1"/>
      <c r="B1" s="2" t="s">
        <v>0</v>
      </c>
      <c r="C1" s="3"/>
      <c r="D1" s="3"/>
      <c r="E1" s="3"/>
      <c r="F1" s="4"/>
    </row>
    <row r="2" ht="18.0" customHeight="1">
      <c r="A2" s="1"/>
      <c r="B2" s="1"/>
      <c r="C2" s="1"/>
      <c r="D2" s="1"/>
      <c r="E2" s="1"/>
      <c r="F2" s="1"/>
    </row>
    <row r="3" ht="18.0" customHeight="1">
      <c r="A3" s="1"/>
      <c r="B3" s="5" t="s">
        <v>1</v>
      </c>
      <c r="C3" s="3"/>
      <c r="D3" s="3"/>
      <c r="E3" s="3"/>
      <c r="F3" s="4"/>
    </row>
    <row r="4" ht="24.75" customHeight="1">
      <c r="A4" s="1"/>
      <c r="B4" s="6" t="s">
        <v>2</v>
      </c>
      <c r="C4" s="7" t="s">
        <v>3</v>
      </c>
      <c r="D4" s="6" t="s">
        <v>4</v>
      </c>
      <c r="E4" s="8" t="s">
        <v>5</v>
      </c>
      <c r="F4" s="9"/>
    </row>
    <row r="5" ht="33.0" customHeight="1">
      <c r="A5" s="1"/>
      <c r="B5" s="6" t="s">
        <v>6</v>
      </c>
      <c r="C5" s="10" t="s">
        <v>7</v>
      </c>
      <c r="D5" s="6" t="s">
        <v>8</v>
      </c>
      <c r="E5" s="11" t="s">
        <v>9</v>
      </c>
      <c r="F5" s="9"/>
    </row>
    <row r="6" ht="30.0" customHeight="1">
      <c r="A6" s="1"/>
      <c r="B6" s="6" t="s">
        <v>10</v>
      </c>
      <c r="C6" s="12" t="s">
        <v>11</v>
      </c>
      <c r="D6" s="6" t="s">
        <v>12</v>
      </c>
      <c r="E6" s="8" t="s">
        <v>13</v>
      </c>
      <c r="F6" s="9"/>
    </row>
    <row r="7" ht="18.0" customHeight="1">
      <c r="A7" s="1"/>
      <c r="B7" s="6" t="s">
        <v>14</v>
      </c>
      <c r="C7" s="10">
        <v>358.0</v>
      </c>
      <c r="D7" s="6" t="s">
        <v>15</v>
      </c>
      <c r="E7" s="11" t="s">
        <v>16</v>
      </c>
      <c r="F7" s="9"/>
    </row>
    <row r="8" ht="18.0" customHeight="1">
      <c r="A8" s="1"/>
      <c r="B8" s="6" t="s">
        <v>17</v>
      </c>
      <c r="C8" s="7" t="s">
        <v>18</v>
      </c>
      <c r="D8" s="6" t="s">
        <v>19</v>
      </c>
      <c r="E8" s="13">
        <v>46124.0</v>
      </c>
      <c r="F8" s="9"/>
    </row>
    <row r="9" ht="18.0" customHeight="1">
      <c r="A9" s="1"/>
      <c r="B9" s="6" t="s">
        <v>20</v>
      </c>
      <c r="C9" s="10"/>
      <c r="D9" s="6" t="s">
        <v>21</v>
      </c>
      <c r="E9" s="14">
        <v>46162.0</v>
      </c>
      <c r="F9" s="9"/>
    </row>
    <row r="10" ht="18.0" customHeight="1">
      <c r="A10" s="1"/>
      <c r="B10" s="6" t="s">
        <v>22</v>
      </c>
      <c r="C10" s="7"/>
      <c r="D10" s="6" t="s">
        <v>23</v>
      </c>
      <c r="E10" s="8" t="s">
        <v>24</v>
      </c>
      <c r="F10" s="9"/>
    </row>
    <row r="11" ht="18.0" customHeight="1">
      <c r="A11" s="1"/>
      <c r="B11" s="15"/>
      <c r="C11" s="16"/>
      <c r="D11" s="16"/>
      <c r="E11" s="16"/>
      <c r="F11" s="17"/>
    </row>
    <row r="12" ht="18.0" customHeight="1">
      <c r="A12" s="1"/>
      <c r="B12" s="5" t="s">
        <v>25</v>
      </c>
      <c r="C12" s="3"/>
      <c r="D12" s="3"/>
      <c r="E12" s="3"/>
      <c r="F12" s="4"/>
    </row>
    <row r="13" ht="18.0" customHeight="1">
      <c r="A13" s="1"/>
      <c r="B13" s="6" t="s">
        <v>26</v>
      </c>
      <c r="C13" s="11" t="s">
        <v>27</v>
      </c>
      <c r="D13" s="4"/>
      <c r="E13" s="11" t="s">
        <v>28</v>
      </c>
      <c r="F13" s="9"/>
    </row>
    <row r="14" ht="18.0" customHeight="1">
      <c r="A14" s="1"/>
      <c r="B14" s="6" t="s">
        <v>29</v>
      </c>
      <c r="C14" s="8" t="s">
        <v>30</v>
      </c>
      <c r="D14" s="4"/>
      <c r="E14" s="8" t="s">
        <v>31</v>
      </c>
      <c r="F14" s="9"/>
    </row>
    <row r="15" ht="18.0" customHeight="1">
      <c r="A15" s="1"/>
      <c r="B15" s="1"/>
      <c r="C15" s="1"/>
      <c r="D15" s="1"/>
      <c r="E15" s="1"/>
      <c r="F15" s="1"/>
    </row>
    <row r="16" ht="18.0" customHeight="1">
      <c r="A16" s="1"/>
      <c r="B16" s="5" t="s">
        <v>32</v>
      </c>
      <c r="C16" s="3"/>
      <c r="D16" s="3"/>
      <c r="E16" s="3"/>
      <c r="F16" s="4"/>
    </row>
    <row r="17" ht="27.0" customHeight="1">
      <c r="A17" s="1"/>
      <c r="B17" s="6" t="s">
        <v>33</v>
      </c>
      <c r="C17" s="11" t="s">
        <v>34</v>
      </c>
      <c r="D17" s="3"/>
      <c r="E17" s="3"/>
      <c r="F17" s="9"/>
    </row>
    <row r="18" ht="30.75" customHeight="1">
      <c r="A18" s="1"/>
      <c r="B18" s="6" t="s">
        <v>35</v>
      </c>
      <c r="C18" s="8" t="s">
        <v>36</v>
      </c>
      <c r="D18" s="3"/>
      <c r="E18" s="3"/>
      <c r="F18" s="9"/>
    </row>
    <row r="19" ht="21.0" customHeight="1">
      <c r="A19" s="1"/>
      <c r="B19" s="6" t="s">
        <v>37</v>
      </c>
      <c r="C19" s="11" t="s">
        <v>38</v>
      </c>
      <c r="D19" s="3"/>
      <c r="E19" s="3"/>
      <c r="F19" s="9"/>
    </row>
    <row r="20" ht="21.0" customHeight="1">
      <c r="A20" s="1"/>
      <c r="B20" s="6" t="s">
        <v>39</v>
      </c>
      <c r="C20" s="8" t="s">
        <v>40</v>
      </c>
      <c r="D20" s="3"/>
      <c r="E20" s="3"/>
      <c r="F20" s="9"/>
    </row>
    <row r="21" ht="18.0" customHeight="1">
      <c r="A21" s="1"/>
      <c r="B21" s="6" t="s">
        <v>41</v>
      </c>
      <c r="C21" s="11" t="s">
        <v>42</v>
      </c>
      <c r="D21" s="3"/>
      <c r="E21" s="3"/>
      <c r="F21" s="9"/>
    </row>
    <row r="22" ht="18.0" customHeight="1">
      <c r="A22" s="1"/>
      <c r="B22" s="1"/>
      <c r="C22" s="1"/>
      <c r="D22" s="1"/>
      <c r="E22" s="1"/>
      <c r="F22" s="1"/>
    </row>
    <row r="23" ht="18.0" customHeight="1">
      <c r="A23" s="1"/>
      <c r="B23" s="5" t="s">
        <v>43</v>
      </c>
      <c r="C23" s="3"/>
      <c r="D23" s="3"/>
      <c r="E23" s="3"/>
      <c r="F23" s="4"/>
    </row>
    <row r="24" ht="18.0" customHeight="1">
      <c r="A24" s="1"/>
      <c r="B24" s="18" t="s">
        <v>44</v>
      </c>
      <c r="C24" s="18" t="s">
        <v>45</v>
      </c>
      <c r="D24" s="18" t="s">
        <v>46</v>
      </c>
      <c r="E24" s="19" t="s">
        <v>47</v>
      </c>
      <c r="F24" s="4"/>
    </row>
    <row r="25" ht="18.0" customHeight="1">
      <c r="A25" s="1"/>
      <c r="B25" s="20" t="s">
        <v>48</v>
      </c>
      <c r="C25" s="21" t="s">
        <v>49</v>
      </c>
      <c r="D25" s="21">
        <v>7.0</v>
      </c>
      <c r="E25" s="22" t="s">
        <v>50</v>
      </c>
      <c r="F25" s="4"/>
    </row>
    <row r="26" ht="18.0" customHeight="1">
      <c r="A26" s="1"/>
      <c r="B26" s="23" t="s">
        <v>51</v>
      </c>
      <c r="C26" s="24" t="s">
        <v>52</v>
      </c>
      <c r="D26" s="24">
        <v>181.0</v>
      </c>
      <c r="E26" s="25" t="s">
        <v>53</v>
      </c>
      <c r="F26" s="4"/>
    </row>
    <row r="27" ht="18.0" customHeight="1">
      <c r="A27" s="1"/>
      <c r="B27" s="26" t="s">
        <v>54</v>
      </c>
      <c r="C27" s="27" t="s">
        <v>55</v>
      </c>
      <c r="D27" s="27">
        <v>121.0</v>
      </c>
      <c r="E27" s="28" t="s">
        <v>56</v>
      </c>
      <c r="F27" s="4"/>
    </row>
    <row r="28" ht="18.0" customHeight="1">
      <c r="A28" s="1"/>
      <c r="B28" s="29" t="s">
        <v>57</v>
      </c>
      <c r="C28" s="30" t="s">
        <v>58</v>
      </c>
      <c r="D28" s="30">
        <v>49.0</v>
      </c>
      <c r="E28" s="31" t="s">
        <v>59</v>
      </c>
      <c r="F28" s="4"/>
    </row>
    <row r="29" ht="18.0" customHeight="1">
      <c r="A29" s="1"/>
      <c r="B29" s="1"/>
      <c r="C29" s="1"/>
      <c r="D29" s="1"/>
      <c r="E29" s="1"/>
      <c r="F29" s="1"/>
    </row>
    <row r="30" ht="18.0" customHeight="1">
      <c r="A30" s="1"/>
      <c r="B30" s="32"/>
      <c r="C30" s="16"/>
      <c r="D30" s="16"/>
      <c r="E30" s="16"/>
      <c r="F30" s="33"/>
    </row>
    <row r="31" ht="21.75" customHeight="1">
      <c r="E31" s="34"/>
    </row>
    <row r="32" ht="19.5" customHeight="1">
      <c r="E32" s="34"/>
    </row>
    <row r="33" ht="19.5" customHeight="1">
      <c r="E33" s="34"/>
    </row>
    <row r="34" ht="19.5" customHeight="1">
      <c r="E34" s="34"/>
    </row>
    <row r="35" ht="19.5" customHeight="1">
      <c r="E35" s="34"/>
    </row>
    <row r="36" ht="19.5" customHeight="1">
      <c r="E36" s="34"/>
    </row>
    <row r="37" ht="19.5" customHeight="1">
      <c r="E37" s="34"/>
    </row>
    <row r="38" ht="19.5" customHeight="1">
      <c r="E38" s="34"/>
    </row>
    <row r="39" ht="19.5" customHeight="1">
      <c r="E39" s="34"/>
    </row>
    <row r="40" ht="19.5" customHeight="1">
      <c r="E40" s="34"/>
    </row>
    <row r="41" ht="19.5" customHeight="1">
      <c r="E41" s="34"/>
    </row>
    <row r="42" ht="19.5" customHeight="1">
      <c r="E42" s="34"/>
    </row>
    <row r="43" ht="19.5" customHeight="1">
      <c r="E43" s="34"/>
    </row>
    <row r="44" ht="19.5" customHeight="1">
      <c r="E44" s="34"/>
    </row>
    <row r="45" ht="19.5" customHeight="1">
      <c r="E45" s="34"/>
    </row>
    <row r="46" ht="19.5" customHeight="1">
      <c r="E46" s="34"/>
    </row>
    <row r="47" ht="19.5" customHeight="1">
      <c r="E47" s="34"/>
    </row>
    <row r="48" ht="19.5" customHeight="1">
      <c r="E48" s="34"/>
    </row>
    <row r="49" ht="19.5" customHeight="1">
      <c r="E49" s="34"/>
    </row>
    <row r="50" ht="19.5" customHeight="1">
      <c r="E50" s="34"/>
    </row>
    <row r="51" ht="19.5" customHeight="1">
      <c r="E51" s="34"/>
    </row>
    <row r="52" ht="19.5" customHeight="1">
      <c r="E52" s="34"/>
    </row>
    <row r="53" ht="19.5" customHeight="1">
      <c r="E53" s="34"/>
    </row>
    <row r="54" ht="19.5" customHeight="1">
      <c r="E54" s="34"/>
    </row>
    <row r="55" ht="19.5" customHeight="1">
      <c r="E55" s="34"/>
    </row>
    <row r="56" ht="19.5" customHeight="1">
      <c r="E56" s="34"/>
    </row>
    <row r="57" ht="21.75" customHeight="1">
      <c r="E57" s="34"/>
    </row>
    <row r="58" ht="21.75" customHeight="1">
      <c r="E58" s="34"/>
    </row>
    <row r="59" ht="21.75" customHeight="1">
      <c r="E59" s="34"/>
    </row>
    <row r="60" ht="14.25" customHeight="1">
      <c r="E60" s="34"/>
    </row>
    <row r="61" ht="14.25" customHeight="1">
      <c r="E61" s="34"/>
    </row>
    <row r="62" ht="14.25" customHeight="1">
      <c r="E62" s="34"/>
    </row>
    <row r="63" ht="14.25" customHeight="1">
      <c r="E63" s="34"/>
    </row>
    <row r="64" ht="14.25" customHeight="1">
      <c r="E64" s="34"/>
    </row>
    <row r="65" ht="14.25" customHeight="1">
      <c r="E65" s="34"/>
    </row>
    <row r="66" ht="14.25" customHeight="1">
      <c r="E66" s="34"/>
    </row>
    <row r="67" ht="14.25" customHeight="1">
      <c r="E67" s="34"/>
    </row>
    <row r="68" ht="14.25" customHeight="1">
      <c r="E68" s="34"/>
    </row>
    <row r="69" ht="14.25" customHeight="1">
      <c r="E69" s="34"/>
    </row>
    <row r="70" ht="14.25" customHeight="1">
      <c r="E70" s="34"/>
    </row>
    <row r="71" ht="14.25" customHeight="1">
      <c r="E71" s="34"/>
    </row>
    <row r="72" ht="14.25" customHeight="1">
      <c r="E72" s="34"/>
    </row>
    <row r="73" ht="14.25" customHeight="1">
      <c r="E73" s="34"/>
    </row>
    <row r="74" ht="14.25" customHeight="1">
      <c r="E74" s="34"/>
    </row>
    <row r="75" ht="14.25" customHeight="1">
      <c r="E75" s="34"/>
    </row>
    <row r="76" ht="14.25" customHeight="1">
      <c r="E76" s="34"/>
    </row>
    <row r="77" ht="14.25" customHeight="1">
      <c r="E77" s="34"/>
    </row>
    <row r="78" ht="14.25" customHeight="1">
      <c r="E78" s="34"/>
    </row>
    <row r="79" ht="14.25" customHeight="1">
      <c r="E79" s="34"/>
    </row>
    <row r="80" ht="14.25" customHeight="1">
      <c r="E80" s="34"/>
    </row>
    <row r="81" ht="14.25" customHeight="1">
      <c r="E81" s="34"/>
    </row>
    <row r="82" ht="14.25" customHeight="1">
      <c r="E82" s="34"/>
    </row>
    <row r="83" ht="14.25" customHeight="1">
      <c r="E83" s="34"/>
    </row>
    <row r="84" ht="14.25" customHeight="1">
      <c r="E84" s="34"/>
    </row>
    <row r="85" ht="14.25" customHeight="1">
      <c r="E85" s="34"/>
    </row>
    <row r="86" ht="14.25" customHeight="1">
      <c r="E86" s="34"/>
    </row>
    <row r="87" ht="14.25" customHeight="1">
      <c r="E87" s="34"/>
    </row>
    <row r="88" ht="14.25" customHeight="1">
      <c r="E88" s="34"/>
    </row>
    <row r="89" ht="14.25" customHeight="1">
      <c r="E89" s="34"/>
    </row>
    <row r="90" ht="14.25" customHeight="1">
      <c r="E90" s="34"/>
    </row>
    <row r="91" ht="14.25" customHeight="1">
      <c r="E91" s="34"/>
    </row>
    <row r="92" ht="14.25" customHeight="1">
      <c r="E92" s="34"/>
    </row>
    <row r="93" ht="14.25" customHeight="1">
      <c r="E93" s="34"/>
    </row>
    <row r="94" ht="14.25" customHeight="1">
      <c r="E94" s="34"/>
    </row>
    <row r="95" ht="14.25" customHeight="1">
      <c r="E95" s="34"/>
    </row>
    <row r="96" ht="14.25" customHeight="1">
      <c r="E96" s="34"/>
    </row>
    <row r="97" ht="14.25" customHeight="1">
      <c r="E97" s="34"/>
    </row>
    <row r="98" ht="14.25" customHeight="1">
      <c r="E98" s="34"/>
    </row>
    <row r="99" ht="14.25" customHeight="1">
      <c r="E99" s="34"/>
    </row>
    <row r="100" ht="14.25" customHeight="1">
      <c r="E100" s="34"/>
    </row>
    <row r="101" ht="14.25" customHeight="1">
      <c r="E101" s="34"/>
    </row>
    <row r="102" ht="14.25" customHeight="1">
      <c r="E102" s="34"/>
    </row>
    <row r="103" ht="14.25" customHeight="1">
      <c r="E103" s="34"/>
    </row>
    <row r="104" ht="14.25" customHeight="1">
      <c r="E104" s="34"/>
    </row>
    <row r="105" ht="14.25" customHeight="1">
      <c r="E105" s="34"/>
    </row>
    <row r="106" ht="14.25" customHeight="1">
      <c r="E106" s="34"/>
    </row>
    <row r="107" ht="14.25" customHeight="1">
      <c r="E107" s="34"/>
    </row>
    <row r="108" ht="14.25" customHeight="1">
      <c r="E108" s="34"/>
    </row>
    <row r="109" ht="14.25" customHeight="1">
      <c r="E109" s="34"/>
    </row>
    <row r="110" ht="14.25" customHeight="1">
      <c r="E110" s="34"/>
    </row>
    <row r="111" ht="14.25" customHeight="1">
      <c r="E111" s="34"/>
    </row>
    <row r="112" ht="14.25" customHeight="1">
      <c r="E112" s="34"/>
    </row>
    <row r="113" ht="14.25" customHeight="1">
      <c r="E113" s="34"/>
    </row>
    <row r="114" ht="14.25" customHeight="1">
      <c r="E114" s="34"/>
    </row>
    <row r="115" ht="14.25" customHeight="1">
      <c r="E115" s="34"/>
    </row>
    <row r="116" ht="14.25" customHeight="1">
      <c r="E116" s="34"/>
    </row>
    <row r="117" ht="14.25" customHeight="1">
      <c r="E117" s="34"/>
    </row>
    <row r="118" ht="14.25" customHeight="1">
      <c r="E118" s="34"/>
    </row>
    <row r="119" ht="14.25" customHeight="1">
      <c r="E119" s="34"/>
    </row>
    <row r="120" ht="14.25" customHeight="1">
      <c r="E120" s="34"/>
    </row>
    <row r="121" ht="14.25" customHeight="1">
      <c r="E121" s="34"/>
    </row>
    <row r="122" ht="14.25" customHeight="1">
      <c r="E122" s="34"/>
    </row>
    <row r="123" ht="14.25" customHeight="1">
      <c r="E123" s="34"/>
    </row>
    <row r="124" ht="14.25" customHeight="1">
      <c r="E124" s="34"/>
    </row>
    <row r="125" ht="14.25" customHeight="1">
      <c r="E125" s="34"/>
    </row>
    <row r="126" ht="14.25" customHeight="1">
      <c r="E126" s="34"/>
    </row>
    <row r="127" ht="14.25" customHeight="1">
      <c r="E127" s="34"/>
    </row>
    <row r="128" ht="14.25" customHeight="1">
      <c r="E128" s="34"/>
    </row>
    <row r="129" ht="14.25" customHeight="1">
      <c r="E129" s="34"/>
    </row>
    <row r="130" ht="14.25" customHeight="1">
      <c r="E130" s="34"/>
    </row>
    <row r="131" ht="14.25" customHeight="1">
      <c r="E131" s="34"/>
    </row>
    <row r="132" ht="14.25" customHeight="1">
      <c r="E132" s="34"/>
    </row>
    <row r="133" ht="14.25" customHeight="1">
      <c r="E133" s="34"/>
    </row>
    <row r="134" ht="14.25" customHeight="1">
      <c r="E134" s="34"/>
    </row>
    <row r="135" ht="14.25" customHeight="1">
      <c r="E135" s="34"/>
    </row>
    <row r="136" ht="14.25" customHeight="1">
      <c r="E136" s="34"/>
    </row>
    <row r="137" ht="14.25" customHeight="1">
      <c r="E137" s="34"/>
    </row>
    <row r="138" ht="14.25" customHeight="1">
      <c r="E138" s="34"/>
    </row>
    <row r="139" ht="14.25" customHeight="1">
      <c r="E139" s="34"/>
    </row>
    <row r="140" ht="14.25" customHeight="1">
      <c r="E140" s="34"/>
    </row>
    <row r="141" ht="14.25" customHeight="1">
      <c r="E141" s="34"/>
    </row>
    <row r="142" ht="14.25" customHeight="1">
      <c r="E142" s="34"/>
    </row>
    <row r="143" ht="14.25" customHeight="1">
      <c r="E143" s="34"/>
    </row>
    <row r="144" ht="14.25" customHeight="1">
      <c r="E144" s="34"/>
    </row>
    <row r="145" ht="14.25" customHeight="1">
      <c r="E145" s="34"/>
    </row>
    <row r="146" ht="14.25" customHeight="1">
      <c r="E146" s="34"/>
    </row>
    <row r="147" ht="14.25" customHeight="1">
      <c r="E147" s="34"/>
    </row>
    <row r="148" ht="14.25" customHeight="1">
      <c r="E148" s="34"/>
    </row>
    <row r="149" ht="14.25" customHeight="1">
      <c r="E149" s="34"/>
    </row>
    <row r="150" ht="14.25" customHeight="1">
      <c r="E150" s="34"/>
    </row>
    <row r="151" ht="14.25" customHeight="1">
      <c r="E151" s="34"/>
    </row>
    <row r="152" ht="14.25" customHeight="1">
      <c r="E152" s="34"/>
    </row>
    <row r="153" ht="14.25" customHeight="1">
      <c r="E153" s="34"/>
    </row>
    <row r="154" ht="14.25" customHeight="1">
      <c r="E154" s="34"/>
    </row>
    <row r="155" ht="14.25" customHeight="1">
      <c r="E155" s="34"/>
    </row>
    <row r="156" ht="14.25" customHeight="1">
      <c r="E156" s="34"/>
    </row>
    <row r="157" ht="14.25" customHeight="1">
      <c r="E157" s="34"/>
    </row>
    <row r="158" ht="14.25" customHeight="1">
      <c r="E158" s="34"/>
    </row>
    <row r="159" ht="14.25" customHeight="1">
      <c r="E159" s="34"/>
    </row>
    <row r="160" ht="14.25" customHeight="1">
      <c r="E160" s="34"/>
    </row>
    <row r="161" ht="14.25" customHeight="1">
      <c r="E161" s="34"/>
    </row>
    <row r="162" ht="14.25" customHeight="1">
      <c r="E162" s="34"/>
    </row>
    <row r="163" ht="14.25" customHeight="1">
      <c r="E163" s="34"/>
    </row>
    <row r="164" ht="14.25" customHeight="1">
      <c r="E164" s="34"/>
    </row>
    <row r="165" ht="14.25" customHeight="1">
      <c r="E165" s="34"/>
    </row>
    <row r="166" ht="14.25" customHeight="1">
      <c r="E166" s="34"/>
    </row>
    <row r="167" ht="14.25" customHeight="1">
      <c r="E167" s="34"/>
    </row>
    <row r="168" ht="14.25" customHeight="1">
      <c r="E168" s="34"/>
    </row>
    <row r="169" ht="14.25" customHeight="1">
      <c r="E169" s="34"/>
    </row>
    <row r="170" ht="14.25" customHeight="1">
      <c r="E170" s="34"/>
    </row>
    <row r="171" ht="14.25" customHeight="1">
      <c r="E171" s="34"/>
    </row>
    <row r="172" ht="14.25" customHeight="1">
      <c r="E172" s="34"/>
    </row>
    <row r="173" ht="14.25" customHeight="1">
      <c r="E173" s="34"/>
    </row>
    <row r="174" ht="14.25" customHeight="1">
      <c r="E174" s="34"/>
    </row>
    <row r="175" ht="14.25" customHeight="1">
      <c r="E175" s="34"/>
    </row>
    <row r="176" ht="14.25" customHeight="1">
      <c r="E176" s="34"/>
    </row>
    <row r="177" ht="14.25" customHeight="1">
      <c r="E177" s="34"/>
    </row>
    <row r="178" ht="14.25" customHeight="1">
      <c r="E178" s="34"/>
    </row>
    <row r="179" ht="14.25" customHeight="1">
      <c r="E179" s="34"/>
    </row>
    <row r="180" ht="14.25" customHeight="1">
      <c r="E180" s="34"/>
    </row>
    <row r="181" ht="14.25" customHeight="1">
      <c r="E181" s="34"/>
    </row>
    <row r="182" ht="14.25" customHeight="1">
      <c r="E182" s="34"/>
    </row>
    <row r="183" ht="14.25" customHeight="1">
      <c r="E183" s="34"/>
    </row>
    <row r="184" ht="14.25" customHeight="1">
      <c r="E184" s="34"/>
    </row>
    <row r="185" ht="14.25" customHeight="1">
      <c r="E185" s="34"/>
    </row>
    <row r="186" ht="14.25" customHeight="1">
      <c r="E186" s="34"/>
    </row>
    <row r="187" ht="14.25" customHeight="1">
      <c r="E187" s="34"/>
    </row>
    <row r="188" ht="14.25" customHeight="1">
      <c r="E188" s="34"/>
    </row>
    <row r="189" ht="14.25" customHeight="1">
      <c r="E189" s="34"/>
    </row>
    <row r="190" ht="14.25" customHeight="1">
      <c r="E190" s="34"/>
    </row>
    <row r="191" ht="14.25" customHeight="1">
      <c r="E191" s="34"/>
    </row>
    <row r="192" ht="14.25" customHeight="1">
      <c r="E192" s="34"/>
    </row>
    <row r="193" ht="14.25" customHeight="1">
      <c r="E193" s="34"/>
    </row>
    <row r="194" ht="14.25" customHeight="1">
      <c r="E194" s="34"/>
    </row>
    <row r="195" ht="14.25" customHeight="1">
      <c r="E195" s="34"/>
    </row>
    <row r="196" ht="14.25" customHeight="1">
      <c r="E196" s="34"/>
    </row>
    <row r="197" ht="14.25" customHeight="1">
      <c r="E197" s="34"/>
    </row>
    <row r="198" ht="14.25" customHeight="1">
      <c r="E198" s="34"/>
    </row>
    <row r="199" ht="14.25" customHeight="1">
      <c r="E199" s="34"/>
    </row>
    <row r="200" ht="14.25" customHeight="1">
      <c r="E200" s="34"/>
    </row>
    <row r="201" ht="14.25" customHeight="1">
      <c r="E201" s="34"/>
    </row>
    <row r="202" ht="14.25" customHeight="1">
      <c r="E202" s="34"/>
    </row>
    <row r="203" ht="14.25" customHeight="1">
      <c r="E203" s="34"/>
    </row>
    <row r="204" ht="14.25" customHeight="1">
      <c r="E204" s="34"/>
    </row>
    <row r="205" ht="14.25" customHeight="1">
      <c r="E205" s="34"/>
    </row>
    <row r="206" ht="14.25" customHeight="1">
      <c r="E206" s="34"/>
    </row>
    <row r="207" ht="14.25" customHeight="1">
      <c r="E207" s="34"/>
    </row>
    <row r="208" ht="14.25" customHeight="1">
      <c r="E208" s="34"/>
    </row>
    <row r="209" ht="14.25" customHeight="1">
      <c r="E209" s="34"/>
    </row>
    <row r="210" ht="14.25" customHeight="1">
      <c r="E210" s="34"/>
    </row>
    <row r="211" ht="14.25" customHeight="1">
      <c r="E211" s="34"/>
    </row>
    <row r="212" ht="14.25" customHeight="1">
      <c r="E212" s="34"/>
    </row>
    <row r="213" ht="14.25" customHeight="1">
      <c r="E213" s="34"/>
    </row>
    <row r="214" ht="14.25" customHeight="1">
      <c r="E214" s="34"/>
    </row>
    <row r="215" ht="14.25" customHeight="1">
      <c r="E215" s="34"/>
    </row>
    <row r="216" ht="14.25" customHeight="1">
      <c r="E216" s="34"/>
    </row>
    <row r="217" ht="14.25" customHeight="1">
      <c r="E217" s="34"/>
    </row>
    <row r="218" ht="14.25" customHeight="1">
      <c r="E218" s="34"/>
    </row>
    <row r="219" ht="14.25" customHeight="1">
      <c r="E219" s="34"/>
    </row>
    <row r="220" ht="14.25" customHeight="1">
      <c r="E220" s="34"/>
    </row>
    <row r="221" ht="14.25" customHeight="1">
      <c r="E221" s="34"/>
    </row>
    <row r="222" ht="14.25" customHeight="1">
      <c r="E222" s="34"/>
    </row>
    <row r="223" ht="14.25" customHeight="1">
      <c r="E223" s="34"/>
    </row>
    <row r="224" ht="14.25" customHeight="1">
      <c r="E224" s="34"/>
    </row>
    <row r="225" ht="14.25" customHeight="1">
      <c r="E225" s="34"/>
    </row>
    <row r="226" ht="14.25" customHeight="1">
      <c r="E226" s="34"/>
    </row>
    <row r="227" ht="14.25" customHeight="1">
      <c r="E227" s="34"/>
    </row>
    <row r="228" ht="14.25" customHeight="1">
      <c r="E228" s="34"/>
    </row>
    <row r="229" ht="14.25" customHeight="1">
      <c r="E229" s="34"/>
    </row>
    <row r="230" ht="14.25" customHeight="1">
      <c r="E230" s="34"/>
    </row>
    <row r="231" ht="14.25" customHeight="1">
      <c r="E231" s="34"/>
    </row>
    <row r="232" ht="14.25" customHeight="1">
      <c r="E232" s="34"/>
    </row>
    <row r="233" ht="14.25" customHeight="1">
      <c r="E233" s="34"/>
    </row>
    <row r="234" ht="14.25" customHeight="1">
      <c r="E234" s="34"/>
    </row>
    <row r="235" ht="14.25" customHeight="1">
      <c r="E235" s="34"/>
    </row>
    <row r="236" ht="14.25" customHeight="1">
      <c r="E236" s="34"/>
    </row>
    <row r="237" ht="14.25" customHeight="1">
      <c r="E237" s="34"/>
    </row>
    <row r="238" ht="14.25" customHeight="1">
      <c r="E238" s="34"/>
    </row>
    <row r="239" ht="14.25" customHeight="1">
      <c r="E239" s="34"/>
    </row>
    <row r="240" ht="14.25" customHeight="1">
      <c r="E240" s="34"/>
    </row>
    <row r="241" ht="14.25" customHeight="1">
      <c r="E241" s="34"/>
    </row>
    <row r="242" ht="14.25" customHeight="1">
      <c r="E242" s="34"/>
    </row>
    <row r="243" ht="14.25" customHeight="1">
      <c r="E243" s="34"/>
    </row>
    <row r="244" ht="14.25" customHeight="1">
      <c r="E244" s="34"/>
    </row>
    <row r="245" ht="14.25" customHeight="1">
      <c r="E245" s="34"/>
    </row>
    <row r="246" ht="14.25" customHeight="1">
      <c r="E246" s="34"/>
    </row>
    <row r="247" ht="14.25" customHeight="1">
      <c r="E247" s="34"/>
    </row>
    <row r="248" ht="14.25" customHeight="1">
      <c r="E248" s="34"/>
    </row>
    <row r="249" ht="14.25" customHeight="1">
      <c r="E249" s="34"/>
    </row>
    <row r="250" ht="14.25" customHeight="1">
      <c r="E250" s="34"/>
    </row>
    <row r="251" ht="14.25" customHeight="1">
      <c r="E251" s="34"/>
    </row>
    <row r="252" ht="14.25" customHeight="1">
      <c r="E252" s="34"/>
    </row>
    <row r="253" ht="14.25" customHeight="1">
      <c r="E253" s="34"/>
    </row>
    <row r="254" ht="14.25" customHeight="1">
      <c r="E254" s="34"/>
    </row>
    <row r="255" ht="14.25" customHeight="1">
      <c r="E255" s="34"/>
    </row>
    <row r="256" ht="14.25" customHeight="1">
      <c r="E256" s="34"/>
    </row>
    <row r="257" ht="14.25" customHeight="1">
      <c r="E257" s="34"/>
    </row>
    <row r="258" ht="14.25" customHeight="1">
      <c r="E258" s="34"/>
    </row>
    <row r="259" ht="14.25" customHeight="1">
      <c r="E259" s="34"/>
    </row>
    <row r="260" ht="14.25" customHeight="1">
      <c r="E260" s="34"/>
    </row>
    <row r="261" ht="14.25" customHeight="1">
      <c r="E261" s="34"/>
    </row>
    <row r="262" ht="14.25" customHeight="1">
      <c r="E262" s="34"/>
    </row>
    <row r="263" ht="14.25" customHeight="1">
      <c r="E263" s="34"/>
    </row>
    <row r="264" ht="14.25" customHeight="1">
      <c r="E264" s="34"/>
    </row>
    <row r="265" ht="14.25" customHeight="1">
      <c r="E265" s="34"/>
    </row>
    <row r="266" ht="14.25" customHeight="1">
      <c r="E266" s="34"/>
    </row>
    <row r="267" ht="14.25" customHeight="1">
      <c r="E267" s="34"/>
    </row>
    <row r="268" ht="14.25" customHeight="1">
      <c r="E268" s="34"/>
    </row>
    <row r="269" ht="14.25" customHeight="1">
      <c r="E269" s="34"/>
    </row>
    <row r="270" ht="14.25" customHeight="1">
      <c r="E270" s="34"/>
    </row>
    <row r="271" ht="14.25" customHeight="1">
      <c r="E271" s="34"/>
    </row>
    <row r="272" ht="14.25" customHeight="1">
      <c r="E272" s="34"/>
    </row>
    <row r="273" ht="14.25" customHeight="1">
      <c r="E273" s="34"/>
    </row>
    <row r="274" ht="14.25" customHeight="1">
      <c r="E274" s="34"/>
    </row>
    <row r="275" ht="14.25" customHeight="1">
      <c r="E275" s="34"/>
    </row>
    <row r="276" ht="14.25" customHeight="1">
      <c r="E276" s="34"/>
    </row>
    <row r="277" ht="14.25" customHeight="1">
      <c r="E277" s="34"/>
    </row>
    <row r="278" ht="14.25" customHeight="1">
      <c r="E278" s="34"/>
    </row>
    <row r="279" ht="14.25" customHeight="1">
      <c r="E279" s="34"/>
    </row>
    <row r="280" ht="14.25" customHeight="1">
      <c r="E280" s="34"/>
    </row>
    <row r="281" ht="14.25" customHeight="1">
      <c r="E281" s="34"/>
    </row>
    <row r="282" ht="14.25" customHeight="1">
      <c r="E282" s="34"/>
    </row>
    <row r="283" ht="14.25" customHeight="1">
      <c r="E283" s="34"/>
    </row>
    <row r="284" ht="14.25" customHeight="1">
      <c r="E284" s="34"/>
    </row>
    <row r="285" ht="14.25" customHeight="1">
      <c r="E285" s="34"/>
    </row>
    <row r="286" ht="14.25" customHeight="1">
      <c r="E286" s="34"/>
    </row>
    <row r="287" ht="14.25" customHeight="1">
      <c r="E287" s="34"/>
    </row>
    <row r="288" ht="14.25" customHeight="1">
      <c r="E288" s="34"/>
    </row>
    <row r="289" ht="14.25" customHeight="1">
      <c r="E289" s="34"/>
    </row>
    <row r="290" ht="14.25" customHeight="1">
      <c r="E290" s="34"/>
    </row>
    <row r="291" ht="14.25" customHeight="1">
      <c r="E291" s="34"/>
    </row>
    <row r="292" ht="14.25" customHeight="1">
      <c r="E292" s="34"/>
    </row>
    <row r="293" ht="14.25" customHeight="1">
      <c r="E293" s="34"/>
    </row>
    <row r="294" ht="14.25" customHeight="1">
      <c r="E294" s="34"/>
    </row>
    <row r="295" ht="14.25" customHeight="1">
      <c r="E295" s="34"/>
    </row>
    <row r="296" ht="14.25" customHeight="1">
      <c r="E296" s="34"/>
    </row>
    <row r="297" ht="14.25" customHeight="1">
      <c r="E297" s="34"/>
    </row>
    <row r="298" ht="14.25" customHeight="1">
      <c r="E298" s="34"/>
    </row>
    <row r="299" ht="14.25" customHeight="1">
      <c r="E299" s="34"/>
    </row>
    <row r="300" ht="14.25" customHeight="1">
      <c r="E300" s="34"/>
    </row>
    <row r="301" ht="14.25" customHeight="1">
      <c r="E301" s="34"/>
    </row>
    <row r="302" ht="14.25" customHeight="1">
      <c r="E302" s="34"/>
    </row>
    <row r="303" ht="14.25" customHeight="1">
      <c r="E303" s="34"/>
    </row>
    <row r="304" ht="14.25" customHeight="1">
      <c r="E304" s="34"/>
    </row>
    <row r="305" ht="14.25" customHeight="1">
      <c r="E305" s="34"/>
    </row>
    <row r="306" ht="14.25" customHeight="1">
      <c r="E306" s="34"/>
    </row>
    <row r="307" ht="14.25" customHeight="1">
      <c r="E307" s="34"/>
    </row>
    <row r="308" ht="14.25" customHeight="1">
      <c r="E308" s="34"/>
    </row>
    <row r="309" ht="14.25" customHeight="1">
      <c r="E309" s="34"/>
    </row>
    <row r="310" ht="14.25" customHeight="1">
      <c r="E310" s="34"/>
    </row>
    <row r="311" ht="14.25" customHeight="1">
      <c r="E311" s="34"/>
    </row>
    <row r="312" ht="14.25" customHeight="1">
      <c r="E312" s="34"/>
    </row>
    <row r="313" ht="14.25" customHeight="1">
      <c r="E313" s="34"/>
    </row>
    <row r="314" ht="14.25" customHeight="1">
      <c r="E314" s="34"/>
    </row>
    <row r="315" ht="14.25" customHeight="1">
      <c r="E315" s="34"/>
    </row>
    <row r="316" ht="14.25" customHeight="1">
      <c r="E316" s="34"/>
    </row>
    <row r="317" ht="14.25" customHeight="1">
      <c r="E317" s="34"/>
    </row>
    <row r="318" ht="14.25" customHeight="1">
      <c r="E318" s="34"/>
    </row>
    <row r="319" ht="14.25" customHeight="1">
      <c r="E319" s="34"/>
    </row>
    <row r="320" ht="14.25" customHeight="1">
      <c r="E320" s="34"/>
    </row>
    <row r="321" ht="14.25" customHeight="1">
      <c r="E321" s="34"/>
    </row>
    <row r="322" ht="14.25" customHeight="1">
      <c r="E322" s="34"/>
    </row>
    <row r="323" ht="14.25" customHeight="1">
      <c r="E323" s="34"/>
    </row>
    <row r="324" ht="14.25" customHeight="1">
      <c r="E324" s="34"/>
    </row>
    <row r="325" ht="14.25" customHeight="1">
      <c r="E325" s="34"/>
    </row>
    <row r="326" ht="14.25" customHeight="1">
      <c r="E326" s="34"/>
    </row>
    <row r="327" ht="14.25" customHeight="1">
      <c r="E327" s="34"/>
    </row>
    <row r="328" ht="14.25" customHeight="1">
      <c r="E328" s="34"/>
    </row>
    <row r="329" ht="14.25" customHeight="1">
      <c r="E329" s="34"/>
    </row>
    <row r="330" ht="14.25" customHeight="1">
      <c r="E330" s="34"/>
    </row>
    <row r="331" ht="14.25" customHeight="1">
      <c r="E331" s="34"/>
    </row>
    <row r="332" ht="14.25" customHeight="1">
      <c r="E332" s="34"/>
    </row>
    <row r="333" ht="14.25" customHeight="1">
      <c r="E333" s="34"/>
    </row>
    <row r="334" ht="14.25" customHeight="1">
      <c r="E334" s="34"/>
    </row>
    <row r="335" ht="14.25" customHeight="1">
      <c r="E335" s="34"/>
    </row>
    <row r="336" ht="14.25" customHeight="1">
      <c r="E336" s="34"/>
    </row>
    <row r="337" ht="14.25" customHeight="1">
      <c r="E337" s="34"/>
    </row>
    <row r="338" ht="14.25" customHeight="1">
      <c r="E338" s="34"/>
    </row>
    <row r="339" ht="14.25" customHeight="1">
      <c r="E339" s="34"/>
    </row>
    <row r="340" ht="14.25" customHeight="1">
      <c r="E340" s="34"/>
    </row>
    <row r="341" ht="14.25" customHeight="1">
      <c r="E341" s="34"/>
    </row>
    <row r="342" ht="14.25" customHeight="1">
      <c r="E342" s="34"/>
    </row>
    <row r="343" ht="14.25" customHeight="1">
      <c r="E343" s="34"/>
    </row>
    <row r="344" ht="14.25" customHeight="1">
      <c r="E344" s="34"/>
    </row>
    <row r="345" ht="14.25" customHeight="1">
      <c r="E345" s="34"/>
    </row>
    <row r="346" ht="14.25" customHeight="1">
      <c r="E346" s="34"/>
    </row>
    <row r="347" ht="14.25" customHeight="1">
      <c r="E347" s="34"/>
    </row>
    <row r="348" ht="14.25" customHeight="1">
      <c r="E348" s="34"/>
    </row>
    <row r="349" ht="14.25" customHeight="1">
      <c r="E349" s="34"/>
    </row>
    <row r="350" ht="14.25" customHeight="1">
      <c r="E350" s="34"/>
    </row>
    <row r="351" ht="14.25" customHeight="1">
      <c r="E351" s="34"/>
    </row>
    <row r="352" ht="14.25" customHeight="1">
      <c r="E352" s="34"/>
    </row>
    <row r="353" ht="14.25" customHeight="1">
      <c r="E353" s="34"/>
    </row>
    <row r="354" ht="14.25" customHeight="1">
      <c r="E354" s="34"/>
    </row>
    <row r="355" ht="14.25" customHeight="1">
      <c r="E355" s="34"/>
    </row>
    <row r="356" ht="14.25" customHeight="1">
      <c r="E356" s="34"/>
    </row>
    <row r="357" ht="14.25" customHeight="1">
      <c r="E357" s="34"/>
    </row>
    <row r="358" ht="14.25" customHeight="1">
      <c r="E358" s="34"/>
    </row>
    <row r="359" ht="14.25" customHeight="1">
      <c r="E359" s="34"/>
    </row>
    <row r="360" ht="14.25" customHeight="1">
      <c r="E360" s="34"/>
    </row>
    <row r="361" ht="14.25" customHeight="1">
      <c r="E361" s="34"/>
    </row>
    <row r="362" ht="14.25" customHeight="1">
      <c r="E362" s="34"/>
    </row>
    <row r="363" ht="14.25" customHeight="1">
      <c r="E363" s="34"/>
    </row>
    <row r="364" ht="14.25" customHeight="1">
      <c r="E364" s="34"/>
    </row>
    <row r="365" ht="14.25" customHeight="1">
      <c r="E365" s="34"/>
    </row>
    <row r="366" ht="14.25" customHeight="1">
      <c r="E366" s="34"/>
    </row>
    <row r="367" ht="14.25" customHeight="1">
      <c r="E367" s="34"/>
    </row>
    <row r="368" ht="14.25" customHeight="1">
      <c r="E368" s="34"/>
    </row>
    <row r="369" ht="14.25" customHeight="1">
      <c r="E369" s="34"/>
    </row>
    <row r="370" ht="14.25" customHeight="1">
      <c r="E370" s="34"/>
    </row>
    <row r="371" ht="14.25" customHeight="1">
      <c r="E371" s="34"/>
    </row>
    <row r="372" ht="14.25" customHeight="1">
      <c r="E372" s="34"/>
    </row>
    <row r="373" ht="14.25" customHeight="1">
      <c r="E373" s="34"/>
    </row>
    <row r="374" ht="14.25" customHeight="1">
      <c r="E374" s="34"/>
    </row>
    <row r="375" ht="14.25" customHeight="1">
      <c r="E375" s="34"/>
    </row>
    <row r="376" ht="14.25" customHeight="1">
      <c r="E376" s="34"/>
    </row>
    <row r="377" ht="14.25" customHeight="1">
      <c r="E377" s="34"/>
    </row>
    <row r="378" ht="14.25" customHeight="1">
      <c r="E378" s="34"/>
    </row>
    <row r="379" ht="14.25" customHeight="1">
      <c r="E379" s="34"/>
    </row>
    <row r="380" ht="14.25" customHeight="1">
      <c r="E380" s="34"/>
    </row>
    <row r="381" ht="14.25" customHeight="1">
      <c r="E381" s="34"/>
    </row>
    <row r="382" ht="14.25" customHeight="1">
      <c r="E382" s="34"/>
    </row>
    <row r="383" ht="14.25" customHeight="1">
      <c r="E383" s="34"/>
    </row>
    <row r="384" ht="14.25" customHeight="1">
      <c r="E384" s="34"/>
    </row>
    <row r="385" ht="14.25" customHeight="1">
      <c r="E385" s="34"/>
    </row>
    <row r="386" ht="14.25" customHeight="1">
      <c r="E386" s="34"/>
    </row>
    <row r="387" ht="14.25" customHeight="1">
      <c r="E387" s="34"/>
    </row>
    <row r="388" ht="14.25" customHeight="1">
      <c r="E388" s="34"/>
    </row>
    <row r="389" ht="14.25" customHeight="1">
      <c r="E389" s="34"/>
    </row>
    <row r="390" ht="14.25" customHeight="1">
      <c r="E390" s="34"/>
    </row>
    <row r="391" ht="14.25" customHeight="1">
      <c r="E391" s="34"/>
    </row>
    <row r="392" ht="14.25" customHeight="1">
      <c r="E392" s="34"/>
    </row>
    <row r="393" ht="14.25" customHeight="1">
      <c r="E393" s="34"/>
    </row>
    <row r="394" ht="14.25" customHeight="1">
      <c r="E394" s="34"/>
    </row>
    <row r="395" ht="14.25" customHeight="1">
      <c r="E395" s="34"/>
    </row>
    <row r="396" ht="14.25" customHeight="1">
      <c r="E396" s="34"/>
    </row>
    <row r="397" ht="14.25" customHeight="1">
      <c r="E397" s="34"/>
    </row>
    <row r="398" ht="14.25" customHeight="1">
      <c r="E398" s="34"/>
    </row>
    <row r="399" ht="14.25" customHeight="1">
      <c r="E399" s="34"/>
    </row>
    <row r="400" ht="14.25" customHeight="1">
      <c r="E400" s="34"/>
    </row>
    <row r="401" ht="14.25" customHeight="1">
      <c r="E401" s="34"/>
    </row>
    <row r="402" ht="14.25" customHeight="1">
      <c r="E402" s="34"/>
    </row>
    <row r="403" ht="14.25" customHeight="1">
      <c r="E403" s="34"/>
    </row>
    <row r="404" ht="14.25" customHeight="1">
      <c r="E404" s="34"/>
    </row>
    <row r="405" ht="14.25" customHeight="1">
      <c r="E405" s="34"/>
    </row>
    <row r="406" ht="14.25" customHeight="1">
      <c r="E406" s="34"/>
    </row>
    <row r="407" ht="14.25" customHeight="1">
      <c r="E407" s="34"/>
    </row>
    <row r="408" ht="14.25" customHeight="1">
      <c r="E408" s="34"/>
    </row>
    <row r="409" ht="14.25" customHeight="1">
      <c r="E409" s="34"/>
    </row>
    <row r="410" ht="14.25" customHeight="1">
      <c r="E410" s="34"/>
    </row>
    <row r="411" ht="14.25" customHeight="1">
      <c r="E411" s="34"/>
    </row>
    <row r="412" ht="14.25" customHeight="1">
      <c r="E412" s="34"/>
    </row>
    <row r="413" ht="14.25" customHeight="1">
      <c r="E413" s="34"/>
    </row>
    <row r="414" ht="14.25" customHeight="1">
      <c r="E414" s="34"/>
    </row>
    <row r="415" ht="14.25" customHeight="1">
      <c r="E415" s="34"/>
    </row>
    <row r="416" ht="14.25" customHeight="1">
      <c r="E416" s="34"/>
    </row>
    <row r="417" ht="14.25" customHeight="1">
      <c r="E417" s="34"/>
    </row>
    <row r="418" ht="14.25" customHeight="1">
      <c r="E418" s="34"/>
    </row>
    <row r="419" ht="14.25" customHeight="1">
      <c r="E419" s="34"/>
    </row>
    <row r="420" ht="14.25" customHeight="1">
      <c r="E420" s="34"/>
    </row>
    <row r="421" ht="14.25" customHeight="1">
      <c r="E421" s="34"/>
    </row>
    <row r="422" ht="14.25" customHeight="1">
      <c r="E422" s="34"/>
    </row>
    <row r="423" ht="14.25" customHeight="1">
      <c r="E423" s="34"/>
    </row>
    <row r="424" ht="14.25" customHeight="1">
      <c r="E424" s="34"/>
    </row>
    <row r="425" ht="14.25" customHeight="1">
      <c r="E425" s="34"/>
    </row>
    <row r="426" ht="14.25" customHeight="1">
      <c r="E426" s="34"/>
    </row>
    <row r="427" ht="14.25" customHeight="1">
      <c r="E427" s="34"/>
    </row>
    <row r="428" ht="14.25" customHeight="1">
      <c r="E428" s="34"/>
    </row>
    <row r="429" ht="14.25" customHeight="1">
      <c r="E429" s="34"/>
    </row>
    <row r="430" ht="14.25" customHeight="1">
      <c r="E430" s="34"/>
    </row>
    <row r="431" ht="14.25" customHeight="1">
      <c r="E431" s="34"/>
    </row>
    <row r="432" ht="14.25" customHeight="1">
      <c r="E432" s="34"/>
    </row>
    <row r="433" ht="14.25" customHeight="1">
      <c r="E433" s="34"/>
    </row>
    <row r="434" ht="14.25" customHeight="1">
      <c r="E434" s="34"/>
    </row>
    <row r="435" ht="14.25" customHeight="1">
      <c r="E435" s="34"/>
    </row>
    <row r="436" ht="14.25" customHeight="1">
      <c r="E436" s="34"/>
    </row>
    <row r="437" ht="14.25" customHeight="1">
      <c r="E437" s="34"/>
    </row>
    <row r="438" ht="14.25" customHeight="1">
      <c r="E438" s="34"/>
    </row>
    <row r="439" ht="14.25" customHeight="1">
      <c r="E439" s="34"/>
    </row>
    <row r="440" ht="14.25" customHeight="1">
      <c r="E440" s="34"/>
    </row>
    <row r="441" ht="14.25" customHeight="1">
      <c r="E441" s="34"/>
    </row>
    <row r="442" ht="14.25" customHeight="1">
      <c r="E442" s="34"/>
    </row>
    <row r="443" ht="14.25" customHeight="1">
      <c r="E443" s="34"/>
    </row>
    <row r="444" ht="14.25" customHeight="1">
      <c r="E444" s="34"/>
    </row>
    <row r="445" ht="14.25" customHeight="1">
      <c r="E445" s="34"/>
    </row>
    <row r="446" ht="14.25" customHeight="1">
      <c r="E446" s="34"/>
    </row>
    <row r="447" ht="14.25" customHeight="1">
      <c r="E447" s="34"/>
    </row>
    <row r="448" ht="14.25" customHeight="1">
      <c r="E448" s="34"/>
    </row>
    <row r="449" ht="14.25" customHeight="1">
      <c r="E449" s="34"/>
    </row>
    <row r="450" ht="14.25" customHeight="1">
      <c r="E450" s="34"/>
    </row>
    <row r="451" ht="14.25" customHeight="1">
      <c r="E451" s="34"/>
    </row>
    <row r="452" ht="14.25" customHeight="1">
      <c r="E452" s="34"/>
    </row>
    <row r="453" ht="14.25" customHeight="1">
      <c r="E453" s="34"/>
    </row>
    <row r="454" ht="14.25" customHeight="1">
      <c r="E454" s="34"/>
    </row>
    <row r="455" ht="14.25" customHeight="1">
      <c r="E455" s="34"/>
    </row>
    <row r="456" ht="14.25" customHeight="1">
      <c r="E456" s="34"/>
    </row>
    <row r="457" ht="14.25" customHeight="1">
      <c r="E457" s="34"/>
    </row>
    <row r="458" ht="14.25" customHeight="1">
      <c r="E458" s="34"/>
    </row>
    <row r="459" ht="14.25" customHeight="1">
      <c r="E459" s="34"/>
    </row>
    <row r="460" ht="14.25" customHeight="1">
      <c r="E460" s="34"/>
    </row>
    <row r="461" ht="14.25" customHeight="1">
      <c r="E461" s="34"/>
    </row>
    <row r="462" ht="14.25" customHeight="1">
      <c r="E462" s="34"/>
    </row>
    <row r="463" ht="14.25" customHeight="1">
      <c r="E463" s="34"/>
    </row>
    <row r="464" ht="14.25" customHeight="1">
      <c r="E464" s="34"/>
    </row>
    <row r="465" ht="14.25" customHeight="1">
      <c r="E465" s="34"/>
    </row>
    <row r="466" ht="14.25" customHeight="1">
      <c r="E466" s="34"/>
    </row>
    <row r="467" ht="14.25" customHeight="1">
      <c r="E467" s="34"/>
    </row>
    <row r="468" ht="14.25" customHeight="1">
      <c r="E468" s="34"/>
    </row>
    <row r="469" ht="14.25" customHeight="1">
      <c r="E469" s="34"/>
    </row>
    <row r="470" ht="14.25" customHeight="1">
      <c r="E470" s="34"/>
    </row>
    <row r="471" ht="14.25" customHeight="1">
      <c r="E471" s="34"/>
    </row>
    <row r="472" ht="14.25" customHeight="1">
      <c r="E472" s="34"/>
    </row>
    <row r="473" ht="14.25" customHeight="1">
      <c r="E473" s="34"/>
    </row>
    <row r="474" ht="14.25" customHeight="1">
      <c r="E474" s="34"/>
    </row>
    <row r="475" ht="14.25" customHeight="1">
      <c r="E475" s="34"/>
    </row>
    <row r="476" ht="14.25" customHeight="1">
      <c r="E476" s="34"/>
    </row>
    <row r="477" ht="14.25" customHeight="1">
      <c r="E477" s="34"/>
    </row>
    <row r="478" ht="14.25" customHeight="1">
      <c r="E478" s="34"/>
    </row>
    <row r="479" ht="14.25" customHeight="1">
      <c r="E479" s="34"/>
    </row>
    <row r="480" ht="14.25" customHeight="1">
      <c r="E480" s="34"/>
    </row>
    <row r="481" ht="14.25" customHeight="1">
      <c r="E481" s="34"/>
    </row>
    <row r="482" ht="14.25" customHeight="1">
      <c r="E482" s="34"/>
    </row>
    <row r="483" ht="14.25" customHeight="1">
      <c r="E483" s="34"/>
    </row>
    <row r="484" ht="14.25" customHeight="1">
      <c r="E484" s="34"/>
    </row>
    <row r="485" ht="14.25" customHeight="1">
      <c r="E485" s="34"/>
    </row>
    <row r="486" ht="14.25" customHeight="1">
      <c r="E486" s="34"/>
    </row>
    <row r="487" ht="14.25" customHeight="1">
      <c r="E487" s="34"/>
    </row>
    <row r="488" ht="14.25" customHeight="1">
      <c r="E488" s="34"/>
    </row>
    <row r="489" ht="14.25" customHeight="1">
      <c r="E489" s="34"/>
    </row>
    <row r="490" ht="14.25" customHeight="1">
      <c r="E490" s="34"/>
    </row>
    <row r="491" ht="14.25" customHeight="1">
      <c r="E491" s="34"/>
    </row>
    <row r="492" ht="14.25" customHeight="1">
      <c r="E492" s="34"/>
    </row>
    <row r="493" ht="14.25" customHeight="1">
      <c r="E493" s="34"/>
    </row>
    <row r="494" ht="14.25" customHeight="1">
      <c r="E494" s="34"/>
    </row>
    <row r="495" ht="14.25" customHeight="1">
      <c r="E495" s="34"/>
    </row>
    <row r="496" ht="14.25" customHeight="1">
      <c r="E496" s="34"/>
    </row>
    <row r="497" ht="14.25" customHeight="1">
      <c r="E497" s="34"/>
    </row>
    <row r="498" ht="14.25" customHeight="1">
      <c r="E498" s="34"/>
    </row>
    <row r="499" ht="14.25" customHeight="1">
      <c r="E499" s="34"/>
    </row>
    <row r="500" ht="14.25" customHeight="1">
      <c r="E500" s="34"/>
    </row>
    <row r="501" ht="14.25" customHeight="1">
      <c r="E501" s="34"/>
    </row>
    <row r="502" ht="14.25" customHeight="1">
      <c r="E502" s="34"/>
    </row>
    <row r="503" ht="14.25" customHeight="1">
      <c r="E503" s="34"/>
    </row>
    <row r="504" ht="14.25" customHeight="1">
      <c r="E504" s="34"/>
    </row>
    <row r="505" ht="14.25" customHeight="1">
      <c r="E505" s="34"/>
    </row>
    <row r="506" ht="14.25" customHeight="1">
      <c r="E506" s="34"/>
    </row>
    <row r="507" ht="14.25" customHeight="1">
      <c r="E507" s="34"/>
    </row>
    <row r="508" ht="14.25" customHeight="1">
      <c r="E508" s="34"/>
    </row>
    <row r="509" ht="14.25" customHeight="1">
      <c r="E509" s="34"/>
    </row>
    <row r="510" ht="14.25" customHeight="1">
      <c r="E510" s="34"/>
    </row>
    <row r="511" ht="14.25" customHeight="1">
      <c r="E511" s="34"/>
    </row>
    <row r="512" ht="14.25" customHeight="1">
      <c r="E512" s="34"/>
    </row>
    <row r="513" ht="14.25" customHeight="1">
      <c r="E513" s="34"/>
    </row>
    <row r="514" ht="14.25" customHeight="1">
      <c r="E514" s="34"/>
    </row>
    <row r="515" ht="14.25" customHeight="1">
      <c r="E515" s="34"/>
    </row>
    <row r="516" ht="14.25" customHeight="1">
      <c r="E516" s="34"/>
    </row>
    <row r="517" ht="14.25" customHeight="1">
      <c r="E517" s="34"/>
    </row>
    <row r="518" ht="14.25" customHeight="1">
      <c r="E518" s="34"/>
    </row>
    <row r="519" ht="14.25" customHeight="1">
      <c r="E519" s="34"/>
    </row>
    <row r="520" ht="14.25" customHeight="1">
      <c r="E520" s="34"/>
    </row>
    <row r="521" ht="14.25" customHeight="1">
      <c r="E521" s="34"/>
    </row>
    <row r="522" ht="14.25" customHeight="1">
      <c r="E522" s="34"/>
    </row>
    <row r="523" ht="14.25" customHeight="1">
      <c r="E523" s="34"/>
    </row>
    <row r="524" ht="14.25" customHeight="1">
      <c r="E524" s="34"/>
    </row>
    <row r="525" ht="14.25" customHeight="1">
      <c r="E525" s="34"/>
    </row>
    <row r="526" ht="14.25" customHeight="1">
      <c r="E526" s="34"/>
    </row>
    <row r="527" ht="14.25" customHeight="1">
      <c r="E527" s="34"/>
    </row>
    <row r="528" ht="14.25" customHeight="1">
      <c r="E528" s="34"/>
    </row>
    <row r="529" ht="14.25" customHeight="1">
      <c r="E529" s="34"/>
    </row>
    <row r="530" ht="14.25" customHeight="1">
      <c r="E530" s="34"/>
    </row>
    <row r="531" ht="14.25" customHeight="1">
      <c r="E531" s="34"/>
    </row>
    <row r="532" ht="14.25" customHeight="1">
      <c r="E532" s="34"/>
    </row>
    <row r="533" ht="14.25" customHeight="1">
      <c r="E533" s="34"/>
    </row>
    <row r="534" ht="14.25" customHeight="1">
      <c r="E534" s="34"/>
    </row>
    <row r="535" ht="14.25" customHeight="1">
      <c r="E535" s="34"/>
    </row>
    <row r="536" ht="14.25" customHeight="1">
      <c r="E536" s="34"/>
    </row>
    <row r="537" ht="14.25" customHeight="1">
      <c r="E537" s="34"/>
    </row>
    <row r="538" ht="14.25" customHeight="1">
      <c r="E538" s="34"/>
    </row>
    <row r="539" ht="14.25" customHeight="1">
      <c r="E539" s="34"/>
    </row>
    <row r="540" ht="14.25" customHeight="1">
      <c r="E540" s="34"/>
    </row>
    <row r="541" ht="14.25" customHeight="1">
      <c r="E541" s="34"/>
    </row>
    <row r="542" ht="14.25" customHeight="1">
      <c r="E542" s="34"/>
    </row>
    <row r="543" ht="14.25" customHeight="1">
      <c r="E543" s="34"/>
    </row>
    <row r="544" ht="14.25" customHeight="1">
      <c r="E544" s="34"/>
    </row>
    <row r="545" ht="14.25" customHeight="1">
      <c r="E545" s="34"/>
    </row>
    <row r="546" ht="14.25" customHeight="1">
      <c r="E546" s="34"/>
    </row>
    <row r="547" ht="14.25" customHeight="1">
      <c r="E547" s="34"/>
    </row>
    <row r="548" ht="14.25" customHeight="1">
      <c r="E548" s="34"/>
    </row>
    <row r="549" ht="14.25" customHeight="1">
      <c r="E549" s="34"/>
    </row>
    <row r="550" ht="14.25" customHeight="1">
      <c r="E550" s="34"/>
    </row>
    <row r="551" ht="14.25" customHeight="1">
      <c r="E551" s="34"/>
    </row>
    <row r="552" ht="14.25" customHeight="1">
      <c r="E552" s="34"/>
    </row>
    <row r="553" ht="14.25" customHeight="1">
      <c r="E553" s="34"/>
    </row>
    <row r="554" ht="14.25" customHeight="1">
      <c r="E554" s="34"/>
    </row>
    <row r="555" ht="14.25" customHeight="1">
      <c r="E555" s="34"/>
    </row>
    <row r="556" ht="14.25" customHeight="1">
      <c r="E556" s="34"/>
    </row>
    <row r="557" ht="14.25" customHeight="1">
      <c r="E557" s="34"/>
    </row>
    <row r="558" ht="14.25" customHeight="1">
      <c r="E558" s="34"/>
    </row>
    <row r="559" ht="14.25" customHeight="1">
      <c r="E559" s="34"/>
    </row>
    <row r="560" ht="14.25" customHeight="1">
      <c r="E560" s="34"/>
    </row>
    <row r="561" ht="14.25" customHeight="1">
      <c r="E561" s="34"/>
    </row>
    <row r="562" ht="14.25" customHeight="1">
      <c r="E562" s="34"/>
    </row>
    <row r="563" ht="14.25" customHeight="1">
      <c r="E563" s="34"/>
    </row>
    <row r="564" ht="14.25" customHeight="1">
      <c r="E564" s="34"/>
    </row>
    <row r="565" ht="14.25" customHeight="1">
      <c r="E565" s="34"/>
    </row>
    <row r="566" ht="14.25" customHeight="1">
      <c r="E566" s="34"/>
    </row>
    <row r="567" ht="14.25" customHeight="1">
      <c r="E567" s="34"/>
    </row>
    <row r="568" ht="14.25" customHeight="1">
      <c r="E568" s="34"/>
    </row>
    <row r="569" ht="14.25" customHeight="1">
      <c r="E569" s="34"/>
    </row>
    <row r="570" ht="14.25" customHeight="1">
      <c r="E570" s="34"/>
    </row>
    <row r="571" ht="14.25" customHeight="1">
      <c r="E571" s="34"/>
    </row>
    <row r="572" ht="14.25" customHeight="1">
      <c r="E572" s="34"/>
    </row>
    <row r="573" ht="14.25" customHeight="1">
      <c r="E573" s="34"/>
    </row>
    <row r="574" ht="14.25" customHeight="1">
      <c r="E574" s="34"/>
    </row>
    <row r="575" ht="14.25" customHeight="1">
      <c r="E575" s="34"/>
    </row>
    <row r="576" ht="14.25" customHeight="1">
      <c r="E576" s="34"/>
    </row>
    <row r="577" ht="14.25" customHeight="1">
      <c r="E577" s="34"/>
    </row>
    <row r="578" ht="14.25" customHeight="1">
      <c r="E578" s="34"/>
    </row>
    <row r="579" ht="14.25" customHeight="1">
      <c r="E579" s="34"/>
    </row>
    <row r="580" ht="14.25" customHeight="1">
      <c r="E580" s="34"/>
    </row>
    <row r="581" ht="14.25" customHeight="1">
      <c r="E581" s="34"/>
    </row>
    <row r="582" ht="14.25" customHeight="1">
      <c r="E582" s="34"/>
    </row>
    <row r="583" ht="14.25" customHeight="1">
      <c r="E583" s="34"/>
    </row>
    <row r="584" ht="14.25" customHeight="1">
      <c r="E584" s="34"/>
    </row>
    <row r="585" ht="14.25" customHeight="1">
      <c r="E585" s="34"/>
    </row>
    <row r="586" ht="14.25" customHeight="1">
      <c r="E586" s="34"/>
    </row>
    <row r="587" ht="14.25" customHeight="1">
      <c r="E587" s="34"/>
    </row>
    <row r="588" ht="14.25" customHeight="1">
      <c r="E588" s="34"/>
    </row>
    <row r="589" ht="14.25" customHeight="1">
      <c r="E589" s="34"/>
    </row>
    <row r="590" ht="14.25" customHeight="1">
      <c r="E590" s="34"/>
    </row>
    <row r="591" ht="14.25" customHeight="1">
      <c r="E591" s="34"/>
    </row>
    <row r="592" ht="14.25" customHeight="1">
      <c r="E592" s="34"/>
    </row>
    <row r="593" ht="14.25" customHeight="1">
      <c r="E593" s="34"/>
    </row>
    <row r="594" ht="14.25" customHeight="1">
      <c r="E594" s="34"/>
    </row>
    <row r="595" ht="14.25" customHeight="1">
      <c r="E595" s="34"/>
    </row>
    <row r="596" ht="14.25" customHeight="1">
      <c r="E596" s="34"/>
    </row>
    <row r="597" ht="14.25" customHeight="1">
      <c r="E597" s="34"/>
    </row>
    <row r="598" ht="14.25" customHeight="1">
      <c r="E598" s="34"/>
    </row>
    <row r="599" ht="14.25" customHeight="1">
      <c r="E599" s="34"/>
    </row>
    <row r="600" ht="14.25" customHeight="1">
      <c r="E600" s="34"/>
    </row>
    <row r="601" ht="14.25" customHeight="1">
      <c r="E601" s="34"/>
    </row>
    <row r="602" ht="14.25" customHeight="1">
      <c r="E602" s="34"/>
    </row>
    <row r="603" ht="14.25" customHeight="1">
      <c r="E603" s="34"/>
    </row>
    <row r="604" ht="14.25" customHeight="1">
      <c r="E604" s="34"/>
    </row>
    <row r="605" ht="14.25" customHeight="1">
      <c r="E605" s="34"/>
    </row>
    <row r="606" ht="14.25" customHeight="1">
      <c r="E606" s="34"/>
    </row>
    <row r="607" ht="14.25" customHeight="1">
      <c r="E607" s="34"/>
    </row>
    <row r="608" ht="14.25" customHeight="1">
      <c r="E608" s="34"/>
    </row>
    <row r="609" ht="14.25" customHeight="1">
      <c r="E609" s="34"/>
    </row>
    <row r="610" ht="14.25" customHeight="1">
      <c r="E610" s="34"/>
    </row>
    <row r="611" ht="14.25" customHeight="1">
      <c r="E611" s="34"/>
    </row>
    <row r="612" ht="14.25" customHeight="1">
      <c r="E612" s="34"/>
    </row>
    <row r="613" ht="14.25" customHeight="1">
      <c r="E613" s="34"/>
    </row>
    <row r="614" ht="14.25" customHeight="1">
      <c r="E614" s="34"/>
    </row>
    <row r="615" ht="14.25" customHeight="1">
      <c r="E615" s="34"/>
    </row>
    <row r="616" ht="14.25" customHeight="1">
      <c r="E616" s="34"/>
    </row>
    <row r="617" ht="14.25" customHeight="1">
      <c r="E617" s="34"/>
    </row>
    <row r="618" ht="14.25" customHeight="1">
      <c r="E618" s="34"/>
    </row>
    <row r="619" ht="14.25" customHeight="1">
      <c r="E619" s="34"/>
    </row>
    <row r="620" ht="14.25" customHeight="1">
      <c r="E620" s="34"/>
    </row>
    <row r="621" ht="14.25" customHeight="1">
      <c r="E621" s="34"/>
    </row>
    <row r="622" ht="14.25" customHeight="1">
      <c r="E622" s="34"/>
    </row>
    <row r="623" ht="14.25" customHeight="1">
      <c r="E623" s="34"/>
    </row>
    <row r="624" ht="14.25" customHeight="1">
      <c r="E624" s="34"/>
    </row>
    <row r="625" ht="14.25" customHeight="1">
      <c r="E625" s="34"/>
    </row>
    <row r="626" ht="14.25" customHeight="1">
      <c r="E626" s="34"/>
    </row>
    <row r="627" ht="14.25" customHeight="1">
      <c r="E627" s="34"/>
    </row>
    <row r="628" ht="14.25" customHeight="1">
      <c r="E628" s="34"/>
    </row>
    <row r="629" ht="14.25" customHeight="1">
      <c r="E629" s="34"/>
    </row>
    <row r="630" ht="14.25" customHeight="1">
      <c r="E630" s="34"/>
    </row>
    <row r="631" ht="14.25" customHeight="1">
      <c r="E631" s="34"/>
    </row>
    <row r="632" ht="14.25" customHeight="1">
      <c r="E632" s="34"/>
    </row>
    <row r="633" ht="14.25" customHeight="1">
      <c r="E633" s="34"/>
    </row>
    <row r="634" ht="14.25" customHeight="1">
      <c r="E634" s="34"/>
    </row>
    <row r="635" ht="14.25" customHeight="1">
      <c r="E635" s="34"/>
    </row>
    <row r="636" ht="14.25" customHeight="1">
      <c r="E636" s="34"/>
    </row>
    <row r="637" ht="14.25" customHeight="1">
      <c r="E637" s="34"/>
    </row>
    <row r="638" ht="14.25" customHeight="1">
      <c r="E638" s="34"/>
    </row>
    <row r="639" ht="14.25" customHeight="1">
      <c r="E639" s="34"/>
    </row>
    <row r="640" ht="14.25" customHeight="1">
      <c r="E640" s="34"/>
    </row>
    <row r="641" ht="14.25" customHeight="1">
      <c r="E641" s="34"/>
    </row>
    <row r="642" ht="14.25" customHeight="1">
      <c r="E642" s="34"/>
    </row>
    <row r="643" ht="14.25" customHeight="1">
      <c r="E643" s="34"/>
    </row>
    <row r="644" ht="14.25" customHeight="1">
      <c r="E644" s="34"/>
    </row>
    <row r="645" ht="14.25" customHeight="1">
      <c r="E645" s="34"/>
    </row>
    <row r="646" ht="14.25" customHeight="1">
      <c r="E646" s="34"/>
    </row>
    <row r="647" ht="14.25" customHeight="1">
      <c r="E647" s="34"/>
    </row>
    <row r="648" ht="14.25" customHeight="1">
      <c r="E648" s="34"/>
    </row>
    <row r="649" ht="14.25" customHeight="1">
      <c r="E649" s="34"/>
    </row>
    <row r="650" ht="14.25" customHeight="1">
      <c r="E650" s="34"/>
    </row>
    <row r="651" ht="14.25" customHeight="1">
      <c r="E651" s="34"/>
    </row>
    <row r="652" ht="14.25" customHeight="1">
      <c r="E652" s="34"/>
    </row>
    <row r="653" ht="14.25" customHeight="1">
      <c r="E653" s="34"/>
    </row>
    <row r="654" ht="14.25" customHeight="1">
      <c r="E654" s="34"/>
    </row>
    <row r="655" ht="14.25" customHeight="1">
      <c r="E655" s="34"/>
    </row>
    <row r="656" ht="14.25" customHeight="1">
      <c r="E656" s="34"/>
    </row>
    <row r="657" ht="14.25" customHeight="1">
      <c r="E657" s="34"/>
    </row>
    <row r="658" ht="14.25" customHeight="1">
      <c r="E658" s="34"/>
    </row>
    <row r="659" ht="14.25" customHeight="1">
      <c r="E659" s="34"/>
    </row>
    <row r="660" ht="14.25" customHeight="1">
      <c r="E660" s="34"/>
    </row>
    <row r="661" ht="14.25" customHeight="1">
      <c r="E661" s="34"/>
    </row>
    <row r="662" ht="14.25" customHeight="1">
      <c r="E662" s="34"/>
    </row>
    <row r="663" ht="14.25" customHeight="1">
      <c r="E663" s="34"/>
    </row>
    <row r="664" ht="14.25" customHeight="1">
      <c r="E664" s="34"/>
    </row>
    <row r="665" ht="14.25" customHeight="1">
      <c r="E665" s="34"/>
    </row>
    <row r="666" ht="14.25" customHeight="1">
      <c r="E666" s="34"/>
    </row>
    <row r="667" ht="14.25" customHeight="1">
      <c r="E667" s="34"/>
    </row>
    <row r="668" ht="14.25" customHeight="1">
      <c r="E668" s="34"/>
    </row>
    <row r="669" ht="14.25" customHeight="1">
      <c r="E669" s="34"/>
    </row>
    <row r="670" ht="14.25" customHeight="1">
      <c r="E670" s="34"/>
    </row>
    <row r="671" ht="14.25" customHeight="1">
      <c r="E671" s="34"/>
    </row>
    <row r="672" ht="14.25" customHeight="1">
      <c r="E672" s="34"/>
    </row>
    <row r="673" ht="14.25" customHeight="1">
      <c r="E673" s="34"/>
    </row>
    <row r="674" ht="14.25" customHeight="1">
      <c r="E674" s="34"/>
    </row>
    <row r="675" ht="14.25" customHeight="1">
      <c r="E675" s="34"/>
    </row>
    <row r="676" ht="14.25" customHeight="1">
      <c r="E676" s="34"/>
    </row>
    <row r="677" ht="14.25" customHeight="1">
      <c r="E677" s="34"/>
    </row>
    <row r="678" ht="14.25" customHeight="1">
      <c r="E678" s="34"/>
    </row>
    <row r="679" ht="14.25" customHeight="1">
      <c r="E679" s="34"/>
    </row>
    <row r="680" ht="14.25" customHeight="1">
      <c r="E680" s="34"/>
    </row>
    <row r="681" ht="14.25" customHeight="1">
      <c r="E681" s="34"/>
    </row>
    <row r="682" ht="14.25" customHeight="1">
      <c r="E682" s="34"/>
    </row>
    <row r="683" ht="14.25" customHeight="1">
      <c r="E683" s="34"/>
    </row>
    <row r="684" ht="14.25" customHeight="1">
      <c r="E684" s="34"/>
    </row>
    <row r="685" ht="14.25" customHeight="1">
      <c r="E685" s="34"/>
    </row>
    <row r="686" ht="14.25" customHeight="1">
      <c r="E686" s="34"/>
    </row>
    <row r="687" ht="14.25" customHeight="1">
      <c r="E687" s="34"/>
    </row>
    <row r="688" ht="14.25" customHeight="1">
      <c r="E688" s="34"/>
    </row>
    <row r="689" ht="14.25" customHeight="1">
      <c r="E689" s="34"/>
    </row>
    <row r="690" ht="14.25" customHeight="1">
      <c r="E690" s="34"/>
    </row>
    <row r="691" ht="14.25" customHeight="1">
      <c r="E691" s="34"/>
    </row>
    <row r="692" ht="14.25" customHeight="1">
      <c r="E692" s="34"/>
    </row>
    <row r="693" ht="14.25" customHeight="1">
      <c r="E693" s="34"/>
    </row>
    <row r="694" ht="14.25" customHeight="1">
      <c r="E694" s="34"/>
    </row>
    <row r="695" ht="14.25" customHeight="1">
      <c r="E695" s="34"/>
    </row>
    <row r="696" ht="14.25" customHeight="1">
      <c r="E696" s="34"/>
    </row>
    <row r="697" ht="14.25" customHeight="1">
      <c r="E697" s="34"/>
    </row>
    <row r="698" ht="14.25" customHeight="1">
      <c r="E698" s="34"/>
    </row>
    <row r="699" ht="14.25" customHeight="1">
      <c r="E699" s="34"/>
    </row>
    <row r="700" ht="14.25" customHeight="1">
      <c r="E700" s="34"/>
    </row>
    <row r="701" ht="14.25" customHeight="1">
      <c r="E701" s="34"/>
    </row>
    <row r="702" ht="14.25" customHeight="1">
      <c r="E702" s="34"/>
    </row>
    <row r="703" ht="14.25" customHeight="1">
      <c r="E703" s="34"/>
    </row>
    <row r="704" ht="14.25" customHeight="1">
      <c r="E704" s="34"/>
    </row>
    <row r="705" ht="14.25" customHeight="1">
      <c r="E705" s="34"/>
    </row>
    <row r="706" ht="14.25" customHeight="1">
      <c r="E706" s="34"/>
    </row>
    <row r="707" ht="14.25" customHeight="1">
      <c r="E707" s="34"/>
    </row>
    <row r="708" ht="14.25" customHeight="1">
      <c r="E708" s="34"/>
    </row>
    <row r="709" ht="14.25" customHeight="1">
      <c r="E709" s="34"/>
    </row>
    <row r="710" ht="14.25" customHeight="1">
      <c r="E710" s="34"/>
    </row>
    <row r="711" ht="14.25" customHeight="1">
      <c r="E711" s="34"/>
    </row>
    <row r="712" ht="14.25" customHeight="1">
      <c r="E712" s="34"/>
    </row>
    <row r="713" ht="14.25" customHeight="1">
      <c r="E713" s="34"/>
    </row>
    <row r="714" ht="14.25" customHeight="1">
      <c r="E714" s="34"/>
    </row>
    <row r="715" ht="14.25" customHeight="1">
      <c r="E715" s="34"/>
    </row>
    <row r="716" ht="14.25" customHeight="1">
      <c r="E716" s="34"/>
    </row>
    <row r="717" ht="14.25" customHeight="1">
      <c r="E717" s="34"/>
    </row>
    <row r="718" ht="14.25" customHeight="1">
      <c r="E718" s="34"/>
    </row>
    <row r="719" ht="14.25" customHeight="1">
      <c r="E719" s="34"/>
    </row>
    <row r="720" ht="14.25" customHeight="1">
      <c r="E720" s="34"/>
    </row>
    <row r="721" ht="14.25" customHeight="1">
      <c r="E721" s="34"/>
    </row>
    <row r="722" ht="14.25" customHeight="1">
      <c r="E722" s="34"/>
    </row>
    <row r="723" ht="14.25" customHeight="1">
      <c r="E723" s="34"/>
    </row>
    <row r="724" ht="14.25" customHeight="1">
      <c r="E724" s="34"/>
    </row>
    <row r="725" ht="14.25" customHeight="1">
      <c r="E725" s="34"/>
    </row>
    <row r="726" ht="14.25" customHeight="1">
      <c r="E726" s="34"/>
    </row>
    <row r="727" ht="14.25" customHeight="1">
      <c r="E727" s="34"/>
    </row>
    <row r="728" ht="14.25" customHeight="1">
      <c r="E728" s="34"/>
    </row>
    <row r="729" ht="14.25" customHeight="1">
      <c r="E729" s="34"/>
    </row>
    <row r="730" ht="14.25" customHeight="1">
      <c r="E730" s="34"/>
    </row>
    <row r="731" ht="14.25" customHeight="1">
      <c r="E731" s="34"/>
    </row>
    <row r="732" ht="14.25" customHeight="1">
      <c r="E732" s="34"/>
    </row>
    <row r="733" ht="14.25" customHeight="1">
      <c r="E733" s="34"/>
    </row>
    <row r="734" ht="14.25" customHeight="1">
      <c r="E734" s="34"/>
    </row>
    <row r="735" ht="14.25" customHeight="1">
      <c r="E735" s="34"/>
    </row>
    <row r="736" ht="14.25" customHeight="1">
      <c r="E736" s="34"/>
    </row>
    <row r="737" ht="14.25" customHeight="1">
      <c r="E737" s="34"/>
    </row>
    <row r="738" ht="14.25" customHeight="1">
      <c r="E738" s="34"/>
    </row>
    <row r="739" ht="14.25" customHeight="1">
      <c r="E739" s="34"/>
    </row>
    <row r="740" ht="14.25" customHeight="1">
      <c r="E740" s="34"/>
    </row>
    <row r="741" ht="14.25" customHeight="1">
      <c r="E741" s="34"/>
    </row>
    <row r="742" ht="14.25" customHeight="1">
      <c r="E742" s="34"/>
    </row>
    <row r="743" ht="14.25" customHeight="1">
      <c r="E743" s="34"/>
    </row>
    <row r="744" ht="14.25" customHeight="1">
      <c r="E744" s="34"/>
    </row>
    <row r="745" ht="14.25" customHeight="1">
      <c r="E745" s="34"/>
    </row>
    <row r="746" ht="14.25" customHeight="1">
      <c r="E746" s="34"/>
    </row>
    <row r="747" ht="14.25" customHeight="1">
      <c r="E747" s="34"/>
    </row>
    <row r="748" ht="14.25" customHeight="1">
      <c r="E748" s="34"/>
    </row>
    <row r="749" ht="14.25" customHeight="1">
      <c r="E749" s="34"/>
    </row>
    <row r="750" ht="14.25" customHeight="1">
      <c r="E750" s="34"/>
    </row>
    <row r="751" ht="14.25" customHeight="1">
      <c r="E751" s="34"/>
    </row>
    <row r="752" ht="14.25" customHeight="1">
      <c r="E752" s="34"/>
    </row>
    <row r="753" ht="14.25" customHeight="1">
      <c r="E753" s="34"/>
    </row>
    <row r="754" ht="14.25" customHeight="1">
      <c r="E754" s="34"/>
    </row>
    <row r="755" ht="14.25" customHeight="1">
      <c r="E755" s="34"/>
    </row>
    <row r="756" ht="14.25" customHeight="1">
      <c r="E756" s="34"/>
    </row>
    <row r="757" ht="14.25" customHeight="1">
      <c r="E757" s="34"/>
    </row>
    <row r="758" ht="14.25" customHeight="1">
      <c r="E758" s="34"/>
    </row>
    <row r="759" ht="14.25" customHeight="1">
      <c r="E759" s="34"/>
    </row>
    <row r="760" ht="14.25" customHeight="1">
      <c r="E760" s="34"/>
    </row>
    <row r="761" ht="14.25" customHeight="1">
      <c r="E761" s="34"/>
    </row>
    <row r="762" ht="14.25" customHeight="1">
      <c r="E762" s="34"/>
    </row>
    <row r="763" ht="14.25" customHeight="1">
      <c r="E763" s="34"/>
    </row>
    <row r="764" ht="14.25" customHeight="1">
      <c r="E764" s="34"/>
    </row>
    <row r="765" ht="14.25" customHeight="1">
      <c r="E765" s="34"/>
    </row>
    <row r="766" ht="14.25" customHeight="1">
      <c r="E766" s="34"/>
    </row>
    <row r="767" ht="14.25" customHeight="1">
      <c r="E767" s="34"/>
    </row>
    <row r="768" ht="14.25" customHeight="1">
      <c r="E768" s="34"/>
    </row>
    <row r="769" ht="14.25" customHeight="1">
      <c r="E769" s="34"/>
    </row>
    <row r="770" ht="14.25" customHeight="1">
      <c r="E770" s="34"/>
    </row>
    <row r="771" ht="14.25" customHeight="1">
      <c r="E771" s="34"/>
    </row>
    <row r="772" ht="14.25" customHeight="1">
      <c r="E772" s="34"/>
    </row>
    <row r="773" ht="14.25" customHeight="1">
      <c r="E773" s="34"/>
    </row>
    <row r="774" ht="14.25" customHeight="1">
      <c r="E774" s="34"/>
    </row>
    <row r="775" ht="14.25" customHeight="1">
      <c r="E775" s="34"/>
    </row>
    <row r="776" ht="14.25" customHeight="1">
      <c r="E776" s="34"/>
    </row>
    <row r="777" ht="14.25" customHeight="1">
      <c r="E777" s="34"/>
    </row>
    <row r="778" ht="14.25" customHeight="1">
      <c r="E778" s="34"/>
    </row>
    <row r="779" ht="14.25" customHeight="1">
      <c r="E779" s="34"/>
    </row>
    <row r="780" ht="14.25" customHeight="1">
      <c r="E780" s="34"/>
    </row>
    <row r="781" ht="14.25" customHeight="1">
      <c r="E781" s="34"/>
    </row>
    <row r="782" ht="14.25" customHeight="1">
      <c r="E782" s="34"/>
    </row>
    <row r="783" ht="14.25" customHeight="1">
      <c r="E783" s="34"/>
    </row>
    <row r="784" ht="14.25" customHeight="1">
      <c r="E784" s="34"/>
    </row>
    <row r="785" ht="14.25" customHeight="1">
      <c r="E785" s="34"/>
    </row>
    <row r="786" ht="14.25" customHeight="1">
      <c r="E786" s="34"/>
    </row>
    <row r="787" ht="14.25" customHeight="1">
      <c r="E787" s="34"/>
    </row>
    <row r="788" ht="14.25" customHeight="1">
      <c r="E788" s="34"/>
    </row>
    <row r="789" ht="14.25" customHeight="1">
      <c r="E789" s="34"/>
    </row>
    <row r="790" ht="14.25" customHeight="1">
      <c r="E790" s="34"/>
    </row>
    <row r="791" ht="14.25" customHeight="1">
      <c r="E791" s="34"/>
    </row>
    <row r="792" ht="14.25" customHeight="1">
      <c r="E792" s="34"/>
    </row>
    <row r="793" ht="14.25" customHeight="1">
      <c r="E793" s="34"/>
    </row>
    <row r="794" ht="14.25" customHeight="1">
      <c r="E794" s="34"/>
    </row>
    <row r="795" ht="14.25" customHeight="1">
      <c r="E795" s="34"/>
    </row>
    <row r="796" ht="14.25" customHeight="1">
      <c r="E796" s="34"/>
    </row>
    <row r="797" ht="14.25" customHeight="1">
      <c r="E797" s="34"/>
    </row>
    <row r="798" ht="14.25" customHeight="1">
      <c r="E798" s="34"/>
    </row>
    <row r="799" ht="14.25" customHeight="1">
      <c r="E799" s="34"/>
    </row>
    <row r="800" ht="14.25" customHeight="1">
      <c r="E800" s="34"/>
    </row>
    <row r="801" ht="14.25" customHeight="1">
      <c r="E801" s="34"/>
    </row>
    <row r="802" ht="14.25" customHeight="1">
      <c r="E802" s="34"/>
    </row>
    <row r="803" ht="14.25" customHeight="1">
      <c r="E803" s="34"/>
    </row>
    <row r="804" ht="14.25" customHeight="1">
      <c r="E804" s="34"/>
    </row>
    <row r="805" ht="14.25" customHeight="1">
      <c r="E805" s="34"/>
    </row>
    <row r="806" ht="14.25" customHeight="1">
      <c r="E806" s="34"/>
    </row>
    <row r="807" ht="14.25" customHeight="1">
      <c r="E807" s="34"/>
    </row>
    <row r="808" ht="14.25" customHeight="1">
      <c r="E808" s="34"/>
    </row>
    <row r="809" ht="14.25" customHeight="1">
      <c r="E809" s="34"/>
    </row>
    <row r="810" ht="14.25" customHeight="1">
      <c r="E810" s="34"/>
    </row>
    <row r="811" ht="14.25" customHeight="1">
      <c r="E811" s="34"/>
    </row>
    <row r="812" ht="14.25" customHeight="1">
      <c r="E812" s="34"/>
    </row>
    <row r="813" ht="14.25" customHeight="1">
      <c r="E813" s="34"/>
    </row>
    <row r="814" ht="14.25" customHeight="1">
      <c r="E814" s="34"/>
    </row>
    <row r="815" ht="14.25" customHeight="1">
      <c r="E815" s="34"/>
    </row>
    <row r="816" ht="14.25" customHeight="1">
      <c r="E816" s="34"/>
    </row>
    <row r="817" ht="14.25" customHeight="1">
      <c r="E817" s="34"/>
    </row>
    <row r="818" ht="14.25" customHeight="1">
      <c r="E818" s="34"/>
    </row>
    <row r="819" ht="14.25" customHeight="1">
      <c r="E819" s="34"/>
    </row>
    <row r="820" ht="14.25" customHeight="1">
      <c r="E820" s="34"/>
    </row>
    <row r="821" ht="14.25" customHeight="1">
      <c r="E821" s="34"/>
    </row>
    <row r="822" ht="14.25" customHeight="1">
      <c r="E822" s="34"/>
    </row>
    <row r="823" ht="14.25" customHeight="1">
      <c r="E823" s="34"/>
    </row>
    <row r="824" ht="14.25" customHeight="1">
      <c r="E824" s="34"/>
    </row>
    <row r="825" ht="14.25" customHeight="1">
      <c r="E825" s="34"/>
    </row>
    <row r="826" ht="14.25" customHeight="1">
      <c r="E826" s="34"/>
    </row>
    <row r="827" ht="14.25" customHeight="1">
      <c r="E827" s="34"/>
    </row>
    <row r="828" ht="14.25" customHeight="1">
      <c r="E828" s="34"/>
    </row>
    <row r="829" ht="14.25" customHeight="1">
      <c r="E829" s="34"/>
    </row>
    <row r="830" ht="14.25" customHeight="1">
      <c r="E830" s="34"/>
    </row>
    <row r="831" ht="14.25" customHeight="1">
      <c r="E831" s="34"/>
    </row>
    <row r="832" ht="14.25" customHeight="1">
      <c r="E832" s="34"/>
    </row>
    <row r="833" ht="14.25" customHeight="1">
      <c r="E833" s="34"/>
    </row>
    <row r="834" ht="14.25" customHeight="1">
      <c r="E834" s="34"/>
    </row>
    <row r="835" ht="14.25" customHeight="1">
      <c r="E835" s="34"/>
    </row>
    <row r="836" ht="14.25" customHeight="1">
      <c r="E836" s="34"/>
    </row>
    <row r="837" ht="14.25" customHeight="1">
      <c r="E837" s="34"/>
    </row>
    <row r="838" ht="14.25" customHeight="1">
      <c r="E838" s="34"/>
    </row>
    <row r="839" ht="14.25" customHeight="1">
      <c r="E839" s="34"/>
    </row>
    <row r="840" ht="14.25" customHeight="1">
      <c r="E840" s="34"/>
    </row>
    <row r="841" ht="14.25" customHeight="1">
      <c r="E841" s="34"/>
    </row>
    <row r="842" ht="14.25" customHeight="1">
      <c r="E842" s="34"/>
    </row>
    <row r="843" ht="14.25" customHeight="1">
      <c r="E843" s="34"/>
    </row>
    <row r="844" ht="14.25" customHeight="1">
      <c r="E844" s="34"/>
    </row>
    <row r="845" ht="14.25" customHeight="1">
      <c r="E845" s="34"/>
    </row>
    <row r="846" ht="14.25" customHeight="1">
      <c r="E846" s="34"/>
    </row>
    <row r="847" ht="14.25" customHeight="1">
      <c r="E847" s="34"/>
    </row>
    <row r="848" ht="14.25" customHeight="1">
      <c r="E848" s="34"/>
    </row>
    <row r="849" ht="14.25" customHeight="1">
      <c r="E849" s="34"/>
    </row>
    <row r="850" ht="14.25" customHeight="1">
      <c r="E850" s="34"/>
    </row>
    <row r="851" ht="14.25" customHeight="1">
      <c r="E851" s="34"/>
    </row>
    <row r="852" ht="14.25" customHeight="1">
      <c r="E852" s="34"/>
    </row>
    <row r="853" ht="14.25" customHeight="1">
      <c r="E853" s="34"/>
    </row>
    <row r="854" ht="14.25" customHeight="1">
      <c r="E854" s="34"/>
    </row>
    <row r="855" ht="14.25" customHeight="1">
      <c r="E855" s="34"/>
    </row>
    <row r="856" ht="14.25" customHeight="1">
      <c r="E856" s="34"/>
    </row>
    <row r="857" ht="14.25" customHeight="1">
      <c r="E857" s="34"/>
    </row>
    <row r="858" ht="14.25" customHeight="1">
      <c r="E858" s="34"/>
    </row>
    <row r="859" ht="14.25" customHeight="1">
      <c r="E859" s="34"/>
    </row>
    <row r="860" ht="14.25" customHeight="1">
      <c r="E860" s="34"/>
    </row>
    <row r="861" ht="14.25" customHeight="1">
      <c r="E861" s="34"/>
    </row>
    <row r="862" ht="14.25" customHeight="1">
      <c r="E862" s="34"/>
    </row>
    <row r="863" ht="14.25" customHeight="1">
      <c r="E863" s="34"/>
    </row>
    <row r="864" ht="14.25" customHeight="1">
      <c r="E864" s="34"/>
    </row>
    <row r="865" ht="14.25" customHeight="1">
      <c r="E865" s="34"/>
    </row>
    <row r="866" ht="14.25" customHeight="1">
      <c r="E866" s="34"/>
    </row>
    <row r="867" ht="14.25" customHeight="1">
      <c r="E867" s="34"/>
    </row>
    <row r="868" ht="14.25" customHeight="1">
      <c r="E868" s="34"/>
    </row>
    <row r="869" ht="14.25" customHeight="1">
      <c r="E869" s="34"/>
    </row>
    <row r="870" ht="14.25" customHeight="1">
      <c r="E870" s="34"/>
    </row>
    <row r="871" ht="14.25" customHeight="1">
      <c r="E871" s="34"/>
    </row>
    <row r="872" ht="14.25" customHeight="1">
      <c r="E872" s="34"/>
    </row>
    <row r="873" ht="14.25" customHeight="1">
      <c r="E873" s="34"/>
    </row>
    <row r="874" ht="14.25" customHeight="1">
      <c r="E874" s="34"/>
    </row>
    <row r="875" ht="14.25" customHeight="1">
      <c r="E875" s="34"/>
    </row>
    <row r="876" ht="14.25" customHeight="1">
      <c r="E876" s="34"/>
    </row>
    <row r="877" ht="14.25" customHeight="1">
      <c r="E877" s="34"/>
    </row>
    <row r="878" ht="14.25" customHeight="1">
      <c r="E878" s="34"/>
    </row>
    <row r="879" ht="14.25" customHeight="1">
      <c r="E879" s="34"/>
    </row>
    <row r="880" ht="14.25" customHeight="1">
      <c r="E880" s="34"/>
    </row>
    <row r="881" ht="14.25" customHeight="1">
      <c r="E881" s="34"/>
    </row>
    <row r="882" ht="14.25" customHeight="1">
      <c r="E882" s="34"/>
    </row>
    <row r="883" ht="14.25" customHeight="1">
      <c r="E883" s="34"/>
    </row>
    <row r="884" ht="14.25" customHeight="1">
      <c r="E884" s="34"/>
    </row>
    <row r="885" ht="14.25" customHeight="1">
      <c r="E885" s="34"/>
    </row>
    <row r="886" ht="14.25" customHeight="1">
      <c r="E886" s="34"/>
    </row>
    <row r="887" ht="14.25" customHeight="1">
      <c r="E887" s="34"/>
    </row>
    <row r="888" ht="14.25" customHeight="1">
      <c r="E888" s="34"/>
    </row>
    <row r="889" ht="14.25" customHeight="1">
      <c r="E889" s="34"/>
    </row>
    <row r="890" ht="14.25" customHeight="1">
      <c r="E890" s="34"/>
    </row>
    <row r="891" ht="14.25" customHeight="1">
      <c r="E891" s="34"/>
    </row>
    <row r="892" ht="14.25" customHeight="1">
      <c r="E892" s="34"/>
    </row>
    <row r="893" ht="14.25" customHeight="1">
      <c r="E893" s="34"/>
    </row>
    <row r="894" ht="14.25" customHeight="1">
      <c r="E894" s="34"/>
    </row>
    <row r="895" ht="14.25" customHeight="1">
      <c r="E895" s="34"/>
    </row>
    <row r="896" ht="14.25" customHeight="1">
      <c r="E896" s="34"/>
    </row>
    <row r="897" ht="14.25" customHeight="1">
      <c r="E897" s="34"/>
    </row>
    <row r="898" ht="14.25" customHeight="1">
      <c r="E898" s="34"/>
    </row>
    <row r="899" ht="14.25" customHeight="1">
      <c r="E899" s="34"/>
    </row>
    <row r="900" ht="14.25" customHeight="1">
      <c r="E900" s="34"/>
    </row>
    <row r="901" ht="14.25" customHeight="1">
      <c r="E901" s="34"/>
    </row>
    <row r="902" ht="14.25" customHeight="1">
      <c r="E902" s="34"/>
    </row>
    <row r="903" ht="14.25" customHeight="1">
      <c r="E903" s="34"/>
    </row>
    <row r="904" ht="14.25" customHeight="1">
      <c r="E904" s="34"/>
    </row>
    <row r="905" ht="14.25" customHeight="1">
      <c r="E905" s="34"/>
    </row>
    <row r="906" ht="14.25" customHeight="1">
      <c r="E906" s="34"/>
    </row>
    <row r="907" ht="14.25" customHeight="1">
      <c r="E907" s="34"/>
    </row>
    <row r="908" ht="14.25" customHeight="1">
      <c r="E908" s="34"/>
    </row>
    <row r="909" ht="14.25" customHeight="1">
      <c r="E909" s="34"/>
    </row>
    <row r="910" ht="14.25" customHeight="1">
      <c r="E910" s="34"/>
    </row>
    <row r="911" ht="14.25" customHeight="1">
      <c r="E911" s="34"/>
    </row>
    <row r="912" ht="14.25" customHeight="1">
      <c r="E912" s="34"/>
    </row>
    <row r="913" ht="14.25" customHeight="1">
      <c r="E913" s="34"/>
    </row>
    <row r="914" ht="14.25" customHeight="1">
      <c r="E914" s="34"/>
    </row>
    <row r="915" ht="14.25" customHeight="1">
      <c r="E915" s="34"/>
    </row>
    <row r="916" ht="14.25" customHeight="1">
      <c r="E916" s="34"/>
    </row>
    <row r="917" ht="14.25" customHeight="1">
      <c r="E917" s="34"/>
    </row>
    <row r="918" ht="14.25" customHeight="1">
      <c r="E918" s="34"/>
    </row>
    <row r="919" ht="14.25" customHeight="1">
      <c r="E919" s="34"/>
    </row>
    <row r="920" ht="14.25" customHeight="1">
      <c r="E920" s="34"/>
    </row>
    <row r="921" ht="14.25" customHeight="1">
      <c r="E921" s="34"/>
    </row>
    <row r="922" ht="14.25" customHeight="1">
      <c r="E922" s="34"/>
    </row>
    <row r="923" ht="14.25" customHeight="1">
      <c r="E923" s="34"/>
    </row>
    <row r="924" ht="14.25" customHeight="1">
      <c r="E924" s="34"/>
    </row>
    <row r="925" ht="14.25" customHeight="1">
      <c r="E925" s="34"/>
    </row>
    <row r="926" ht="14.25" customHeight="1">
      <c r="E926" s="34"/>
    </row>
    <row r="927" ht="14.25" customHeight="1">
      <c r="E927" s="34"/>
    </row>
    <row r="928" ht="14.25" customHeight="1">
      <c r="E928" s="34"/>
    </row>
    <row r="929" ht="14.25" customHeight="1">
      <c r="E929" s="34"/>
    </row>
    <row r="930" ht="14.25" customHeight="1">
      <c r="E930" s="34"/>
    </row>
    <row r="931" ht="14.25" customHeight="1">
      <c r="E931" s="34"/>
    </row>
    <row r="932" ht="14.25" customHeight="1">
      <c r="E932" s="34"/>
    </row>
    <row r="933" ht="14.25" customHeight="1">
      <c r="E933" s="34"/>
    </row>
    <row r="934" ht="14.25" customHeight="1">
      <c r="E934" s="34"/>
    </row>
    <row r="935" ht="14.25" customHeight="1">
      <c r="E935" s="34"/>
    </row>
    <row r="936" ht="14.25" customHeight="1">
      <c r="E936" s="34"/>
    </row>
    <row r="937" ht="14.25" customHeight="1">
      <c r="E937" s="34"/>
    </row>
    <row r="938" ht="14.25" customHeight="1">
      <c r="E938" s="34"/>
    </row>
    <row r="939" ht="14.25" customHeight="1">
      <c r="E939" s="34"/>
    </row>
    <row r="940" ht="14.25" customHeight="1">
      <c r="E940" s="34"/>
    </row>
    <row r="941" ht="14.25" customHeight="1">
      <c r="E941" s="34"/>
    </row>
    <row r="942" ht="14.25" customHeight="1">
      <c r="E942" s="34"/>
    </row>
    <row r="943" ht="14.25" customHeight="1">
      <c r="E943" s="34"/>
    </row>
    <row r="944" ht="14.25" customHeight="1">
      <c r="E944" s="34"/>
    </row>
    <row r="945" ht="14.25" customHeight="1">
      <c r="E945" s="34"/>
    </row>
    <row r="946" ht="14.25" customHeight="1">
      <c r="E946" s="34"/>
    </row>
    <row r="947" ht="14.25" customHeight="1">
      <c r="E947" s="34"/>
    </row>
    <row r="948" ht="14.25" customHeight="1">
      <c r="E948" s="34"/>
    </row>
    <row r="949" ht="14.25" customHeight="1">
      <c r="E949" s="34"/>
    </row>
    <row r="950" ht="14.25" customHeight="1">
      <c r="E950" s="34"/>
    </row>
    <row r="951" ht="14.25" customHeight="1">
      <c r="E951" s="34"/>
    </row>
    <row r="952" ht="14.25" customHeight="1">
      <c r="E952" s="34"/>
    </row>
    <row r="953" ht="14.25" customHeight="1">
      <c r="E953" s="34"/>
    </row>
    <row r="954" ht="14.25" customHeight="1">
      <c r="E954" s="34"/>
    </row>
    <row r="955" ht="14.25" customHeight="1">
      <c r="E955" s="34"/>
    </row>
    <row r="956" ht="14.25" customHeight="1">
      <c r="E956" s="34"/>
    </row>
    <row r="957" ht="14.25" customHeight="1">
      <c r="E957" s="34"/>
    </row>
    <row r="958" ht="14.25" customHeight="1">
      <c r="E958" s="34"/>
    </row>
    <row r="959" ht="14.25" customHeight="1">
      <c r="E959" s="34"/>
    </row>
    <row r="960" ht="14.25" customHeight="1">
      <c r="E960" s="34"/>
    </row>
    <row r="961" ht="14.25" customHeight="1">
      <c r="E961" s="34"/>
    </row>
    <row r="962" ht="14.25" customHeight="1">
      <c r="E962" s="34"/>
    </row>
    <row r="963" ht="14.25" customHeight="1">
      <c r="E963" s="34"/>
    </row>
    <row r="964" ht="14.25" customHeight="1">
      <c r="E964" s="34"/>
    </row>
    <row r="965" ht="14.25" customHeight="1">
      <c r="E965" s="34"/>
    </row>
    <row r="966" ht="14.25" customHeight="1">
      <c r="E966" s="34"/>
    </row>
    <row r="967" ht="14.25" customHeight="1">
      <c r="E967" s="34"/>
    </row>
    <row r="968" ht="14.25" customHeight="1">
      <c r="E968" s="34"/>
    </row>
    <row r="969" ht="14.25" customHeight="1">
      <c r="E969" s="34"/>
    </row>
    <row r="970" ht="14.25" customHeight="1">
      <c r="E970" s="34"/>
    </row>
    <row r="971" ht="14.25" customHeight="1">
      <c r="E971" s="34"/>
    </row>
    <row r="972" ht="14.25" customHeight="1">
      <c r="E972" s="34"/>
    </row>
    <row r="973" ht="14.25" customHeight="1">
      <c r="E973" s="34"/>
    </row>
    <row r="974" ht="14.25" customHeight="1">
      <c r="E974" s="34"/>
    </row>
    <row r="975" ht="14.25" customHeight="1">
      <c r="E975" s="34"/>
    </row>
    <row r="976" ht="14.25" customHeight="1">
      <c r="E976" s="34"/>
    </row>
    <row r="977" ht="14.25" customHeight="1">
      <c r="E977" s="34"/>
    </row>
    <row r="978" ht="14.25" customHeight="1">
      <c r="E978" s="34"/>
    </row>
    <row r="979" ht="14.25" customHeight="1">
      <c r="E979" s="34"/>
    </row>
    <row r="980" ht="14.25" customHeight="1">
      <c r="E980" s="34"/>
    </row>
    <row r="981" ht="14.25" customHeight="1">
      <c r="E981" s="34"/>
    </row>
    <row r="982" ht="14.25" customHeight="1">
      <c r="E982" s="34"/>
    </row>
    <row r="983" ht="14.25" customHeight="1">
      <c r="E983" s="34"/>
    </row>
    <row r="984" ht="14.25" customHeight="1">
      <c r="E984" s="34"/>
    </row>
    <row r="985" ht="14.25" customHeight="1">
      <c r="E985" s="34"/>
    </row>
    <row r="986" ht="14.25" customHeight="1">
      <c r="E986" s="34"/>
    </row>
    <row r="987" ht="14.25" customHeight="1">
      <c r="E987" s="34"/>
    </row>
    <row r="988" ht="14.25" customHeight="1">
      <c r="E988" s="34"/>
    </row>
    <row r="989" ht="14.25" customHeight="1">
      <c r="E989" s="34"/>
    </row>
    <row r="990" ht="14.25" customHeight="1">
      <c r="E990" s="34"/>
    </row>
    <row r="991" ht="14.25" customHeight="1">
      <c r="E991" s="34"/>
    </row>
    <row r="992" ht="14.25" customHeight="1">
      <c r="E992" s="34"/>
    </row>
    <row r="993" ht="14.25" customHeight="1">
      <c r="E993" s="34"/>
    </row>
    <row r="994" ht="14.25" customHeight="1">
      <c r="E994" s="34"/>
    </row>
    <row r="995" ht="14.25" customHeight="1">
      <c r="E995" s="34"/>
    </row>
    <row r="996" ht="14.25" customHeight="1">
      <c r="E996" s="34"/>
    </row>
    <row r="997" ht="14.25" customHeight="1">
      <c r="E997" s="34"/>
    </row>
    <row r="998" ht="14.25" customHeight="1">
      <c r="E998" s="34"/>
    </row>
    <row r="999" ht="14.25" customHeight="1">
      <c r="E999" s="34"/>
    </row>
    <row r="1000" ht="14.25" customHeight="1">
      <c r="E1000" s="34"/>
    </row>
  </sheetData>
  <mergeCells count="28">
    <mergeCell ref="B1:F1"/>
    <mergeCell ref="B3:F3"/>
    <mergeCell ref="E4:F4"/>
    <mergeCell ref="E5:F5"/>
    <mergeCell ref="E6:F6"/>
    <mergeCell ref="E7:F7"/>
    <mergeCell ref="E8:F8"/>
    <mergeCell ref="E9:F9"/>
    <mergeCell ref="E10:F10"/>
    <mergeCell ref="B11:F11"/>
    <mergeCell ref="B12:F12"/>
    <mergeCell ref="C13:D13"/>
    <mergeCell ref="E13:F13"/>
    <mergeCell ref="C14:D14"/>
    <mergeCell ref="B23:F23"/>
    <mergeCell ref="E24:F24"/>
    <mergeCell ref="E25:F25"/>
    <mergeCell ref="E26:F26"/>
    <mergeCell ref="E27:F27"/>
    <mergeCell ref="E28:F28"/>
    <mergeCell ref="B30:F30"/>
    <mergeCell ref="E14:F14"/>
    <mergeCell ref="B16:F16"/>
    <mergeCell ref="C17:F17"/>
    <mergeCell ref="C18:F18"/>
    <mergeCell ref="C19:F19"/>
    <mergeCell ref="C20:F20"/>
    <mergeCell ref="C21:F21"/>
  </mergeCells>
  <hyperlinks>
    <hyperlink r:id="rId1" ref="C6"/>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8C8"/>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2" width="40.0"/>
    <col customWidth="1" min="3" max="3" width="38.0"/>
    <col customWidth="1" min="4" max="4" width="12.0"/>
    <col customWidth="1" min="5" max="5" width="31.0"/>
    <col customWidth="1" min="6" max="8" width="40.0"/>
    <col customWidth="1" min="9" max="9" width="42.29"/>
    <col customWidth="1" min="10" max="10" width="40.0"/>
    <col customWidth="1" min="11" max="11" width="12.0"/>
    <col customWidth="1" min="12" max="12" width="16.0"/>
    <col customWidth="1" min="13" max="13" width="18.0"/>
    <col customWidth="1" min="14" max="14" width="21.0"/>
    <col customWidth="1" min="15" max="15" width="40.0"/>
    <col customWidth="1" min="16" max="18" width="12.0"/>
    <col customWidth="1" min="19" max="26" width="8.71"/>
  </cols>
  <sheetData>
    <row r="1" ht="39.75" customHeight="1">
      <c r="A1" s="35" t="s">
        <v>60</v>
      </c>
      <c r="B1" s="16"/>
      <c r="C1" s="16"/>
      <c r="D1" s="16"/>
      <c r="E1" s="16"/>
      <c r="F1" s="16"/>
      <c r="G1" s="16"/>
      <c r="H1" s="16"/>
      <c r="I1" s="16"/>
      <c r="J1" s="16"/>
      <c r="K1" s="16"/>
      <c r="L1" s="16"/>
      <c r="M1" s="16"/>
      <c r="N1" s="16"/>
      <c r="O1" s="33"/>
      <c r="P1" s="36"/>
      <c r="Q1" s="36"/>
      <c r="R1" s="36"/>
    </row>
    <row r="2" ht="39.0" customHeight="1">
      <c r="A2" s="37" t="s">
        <v>61</v>
      </c>
      <c r="B2" s="37" t="s">
        <v>62</v>
      </c>
      <c r="C2" s="37" t="s">
        <v>63</v>
      </c>
      <c r="D2" s="37" t="s">
        <v>64</v>
      </c>
      <c r="E2" s="37" t="s">
        <v>65</v>
      </c>
      <c r="F2" s="37" t="s">
        <v>66</v>
      </c>
      <c r="G2" s="38" t="s">
        <v>67</v>
      </c>
      <c r="H2" s="37" t="s">
        <v>68</v>
      </c>
      <c r="I2" s="37" t="s">
        <v>69</v>
      </c>
      <c r="J2" s="37" t="s">
        <v>70</v>
      </c>
      <c r="K2" s="37" t="s">
        <v>23</v>
      </c>
      <c r="L2" s="37" t="s">
        <v>71</v>
      </c>
      <c r="M2" s="37" t="s">
        <v>72</v>
      </c>
      <c r="N2" s="37" t="s">
        <v>73</v>
      </c>
      <c r="O2" s="37" t="s">
        <v>74</v>
      </c>
      <c r="P2" s="39"/>
      <c r="Q2" s="39"/>
      <c r="R2" s="39"/>
    </row>
    <row r="3" ht="120.0" customHeight="1">
      <c r="A3" s="40" t="s">
        <v>75</v>
      </c>
      <c r="B3" s="41" t="s">
        <v>76</v>
      </c>
      <c r="C3" s="42" t="s">
        <v>77</v>
      </c>
      <c r="D3" s="43" t="s">
        <v>49</v>
      </c>
      <c r="E3" s="42" t="s">
        <v>78</v>
      </c>
      <c r="F3" s="41" t="s">
        <v>79</v>
      </c>
      <c r="G3" s="41" t="s">
        <v>80</v>
      </c>
      <c r="H3" s="41" t="s">
        <v>81</v>
      </c>
      <c r="I3" s="41" t="s">
        <v>82</v>
      </c>
      <c r="J3" s="41" t="s">
        <v>83</v>
      </c>
      <c r="K3" s="44" t="s">
        <v>84</v>
      </c>
      <c r="L3" s="42" t="s">
        <v>85</v>
      </c>
      <c r="M3" s="42" t="s">
        <v>18</v>
      </c>
      <c r="N3" s="45">
        <v>46360.0</v>
      </c>
      <c r="O3" s="42" t="s">
        <v>86</v>
      </c>
      <c r="P3" s="39"/>
      <c r="Q3" s="39"/>
      <c r="R3" s="39"/>
    </row>
    <row r="4" ht="120.0" customHeight="1">
      <c r="A4" s="46" t="s">
        <v>87</v>
      </c>
      <c r="B4" s="47" t="s">
        <v>88</v>
      </c>
      <c r="C4" s="48" t="s">
        <v>89</v>
      </c>
      <c r="D4" s="43" t="s">
        <v>49</v>
      </c>
      <c r="E4" s="48" t="s">
        <v>90</v>
      </c>
      <c r="F4" s="47" t="s">
        <v>91</v>
      </c>
      <c r="G4" s="47" t="s">
        <v>92</v>
      </c>
      <c r="H4" s="47" t="s">
        <v>93</v>
      </c>
      <c r="I4" s="47" t="s">
        <v>94</v>
      </c>
      <c r="J4" s="47" t="s">
        <v>95</v>
      </c>
      <c r="K4" s="49" t="s">
        <v>96</v>
      </c>
      <c r="L4" s="48" t="s">
        <v>85</v>
      </c>
      <c r="M4" s="48" t="s">
        <v>18</v>
      </c>
      <c r="N4" s="50">
        <v>46360.0</v>
      </c>
      <c r="O4" s="48" t="s">
        <v>97</v>
      </c>
      <c r="P4" s="39"/>
      <c r="Q4" s="39"/>
      <c r="R4" s="39"/>
    </row>
    <row r="5" ht="120.0" customHeight="1">
      <c r="A5" s="40" t="s">
        <v>98</v>
      </c>
      <c r="B5" s="41" t="s">
        <v>99</v>
      </c>
      <c r="C5" s="42" t="s">
        <v>89</v>
      </c>
      <c r="D5" s="43" t="s">
        <v>49</v>
      </c>
      <c r="E5" s="42" t="s">
        <v>90</v>
      </c>
      <c r="F5" s="41" t="s">
        <v>91</v>
      </c>
      <c r="G5" s="41" t="s">
        <v>100</v>
      </c>
      <c r="H5" s="41" t="s">
        <v>101</v>
      </c>
      <c r="I5" s="41" t="s">
        <v>102</v>
      </c>
      <c r="J5" s="41" t="s">
        <v>103</v>
      </c>
      <c r="K5" s="44" t="s">
        <v>84</v>
      </c>
      <c r="L5" s="42" t="s">
        <v>85</v>
      </c>
      <c r="M5" s="42" t="s">
        <v>18</v>
      </c>
      <c r="N5" s="45">
        <v>46360.0</v>
      </c>
      <c r="O5" s="42" t="s">
        <v>86</v>
      </c>
      <c r="P5" s="39"/>
      <c r="Q5" s="39"/>
      <c r="R5" s="39"/>
    </row>
    <row r="6" ht="120.0" customHeight="1">
      <c r="A6" s="46" t="s">
        <v>104</v>
      </c>
      <c r="B6" s="47" t="s">
        <v>105</v>
      </c>
      <c r="C6" s="48" t="s">
        <v>106</v>
      </c>
      <c r="D6" s="43" t="s">
        <v>49</v>
      </c>
      <c r="E6" s="48" t="s">
        <v>78</v>
      </c>
      <c r="F6" s="47" t="s">
        <v>107</v>
      </c>
      <c r="G6" s="47" t="s">
        <v>108</v>
      </c>
      <c r="H6" s="47" t="s">
        <v>109</v>
      </c>
      <c r="I6" s="47" t="s">
        <v>110</v>
      </c>
      <c r="J6" s="47" t="s">
        <v>111</v>
      </c>
      <c r="K6" s="44" t="s">
        <v>84</v>
      </c>
      <c r="L6" s="48" t="s">
        <v>85</v>
      </c>
      <c r="M6" s="48" t="s">
        <v>18</v>
      </c>
      <c r="N6" s="50">
        <v>46360.0</v>
      </c>
      <c r="O6" s="48" t="s">
        <v>86</v>
      </c>
      <c r="P6" s="39"/>
      <c r="Q6" s="39"/>
      <c r="R6" s="39"/>
    </row>
    <row r="7" ht="120.0" customHeight="1">
      <c r="A7" s="40" t="s">
        <v>112</v>
      </c>
      <c r="B7" s="41" t="s">
        <v>113</v>
      </c>
      <c r="C7" s="42" t="s">
        <v>114</v>
      </c>
      <c r="D7" s="43" t="s">
        <v>49</v>
      </c>
      <c r="E7" s="42" t="s">
        <v>90</v>
      </c>
      <c r="F7" s="41" t="s">
        <v>115</v>
      </c>
      <c r="G7" s="41" t="s">
        <v>116</v>
      </c>
      <c r="H7" s="41" t="s">
        <v>117</v>
      </c>
      <c r="I7" s="41" t="s">
        <v>118</v>
      </c>
      <c r="J7" s="41" t="s">
        <v>119</v>
      </c>
      <c r="K7" s="44" t="s">
        <v>84</v>
      </c>
      <c r="L7" s="42" t="s">
        <v>85</v>
      </c>
      <c r="M7" s="42" t="s">
        <v>18</v>
      </c>
      <c r="N7" s="45">
        <v>46360.0</v>
      </c>
      <c r="O7" s="42" t="s">
        <v>86</v>
      </c>
      <c r="P7" s="39"/>
      <c r="Q7" s="39"/>
      <c r="R7" s="39"/>
    </row>
    <row r="8" ht="120.0" customHeight="1">
      <c r="A8" s="46" t="s">
        <v>120</v>
      </c>
      <c r="B8" s="47" t="s">
        <v>121</v>
      </c>
      <c r="C8" s="48" t="s">
        <v>114</v>
      </c>
      <c r="D8" s="43" t="s">
        <v>49</v>
      </c>
      <c r="E8" s="48" t="s">
        <v>90</v>
      </c>
      <c r="F8" s="47" t="s">
        <v>115</v>
      </c>
      <c r="G8" s="47" t="s">
        <v>122</v>
      </c>
      <c r="H8" s="47" t="s">
        <v>123</v>
      </c>
      <c r="I8" s="47" t="s">
        <v>124</v>
      </c>
      <c r="J8" s="47" t="s">
        <v>125</v>
      </c>
      <c r="K8" s="44" t="s">
        <v>84</v>
      </c>
      <c r="L8" s="48" t="s">
        <v>85</v>
      </c>
      <c r="M8" s="48" t="s">
        <v>18</v>
      </c>
      <c r="N8" s="50">
        <v>46360.0</v>
      </c>
      <c r="O8" s="48" t="s">
        <v>86</v>
      </c>
      <c r="P8" s="39"/>
      <c r="Q8" s="39"/>
      <c r="R8" s="39"/>
    </row>
    <row r="9" ht="120.0" customHeight="1">
      <c r="A9" s="40" t="s">
        <v>126</v>
      </c>
      <c r="B9" s="41" t="s">
        <v>127</v>
      </c>
      <c r="C9" s="42" t="s">
        <v>77</v>
      </c>
      <c r="D9" s="51" t="s">
        <v>52</v>
      </c>
      <c r="E9" s="42" t="s">
        <v>78</v>
      </c>
      <c r="F9" s="41" t="s">
        <v>79</v>
      </c>
      <c r="G9" s="41" t="s">
        <v>128</v>
      </c>
      <c r="H9" s="41" t="s">
        <v>129</v>
      </c>
      <c r="I9" s="41" t="s">
        <v>130</v>
      </c>
      <c r="J9" s="41" t="s">
        <v>131</v>
      </c>
      <c r="K9" s="44" t="s">
        <v>84</v>
      </c>
      <c r="L9" s="42" t="s">
        <v>85</v>
      </c>
      <c r="M9" s="42" t="s">
        <v>18</v>
      </c>
      <c r="N9" s="45">
        <v>46360.0</v>
      </c>
      <c r="O9" s="42" t="s">
        <v>86</v>
      </c>
      <c r="P9" s="39"/>
      <c r="Q9" s="39"/>
      <c r="R9" s="39"/>
    </row>
    <row r="10" ht="120.0" customHeight="1">
      <c r="A10" s="46" t="s">
        <v>132</v>
      </c>
      <c r="B10" s="47" t="s">
        <v>133</v>
      </c>
      <c r="C10" s="48" t="s">
        <v>134</v>
      </c>
      <c r="D10" s="51" t="s">
        <v>52</v>
      </c>
      <c r="E10" s="48" t="s">
        <v>78</v>
      </c>
      <c r="F10" s="47" t="s">
        <v>135</v>
      </c>
      <c r="G10" s="47" t="s">
        <v>136</v>
      </c>
      <c r="H10" s="47" t="s">
        <v>137</v>
      </c>
      <c r="I10" s="47" t="s">
        <v>138</v>
      </c>
      <c r="J10" s="47" t="s">
        <v>139</v>
      </c>
      <c r="K10" s="44" t="s">
        <v>84</v>
      </c>
      <c r="L10" s="48" t="s">
        <v>85</v>
      </c>
      <c r="M10" s="48" t="s">
        <v>18</v>
      </c>
      <c r="N10" s="50">
        <v>46360.0</v>
      </c>
      <c r="O10" s="48" t="s">
        <v>86</v>
      </c>
      <c r="P10" s="39"/>
      <c r="Q10" s="39"/>
      <c r="R10" s="39"/>
    </row>
    <row r="11" ht="120.0" customHeight="1">
      <c r="A11" s="40" t="s">
        <v>140</v>
      </c>
      <c r="B11" s="41" t="s">
        <v>141</v>
      </c>
      <c r="C11" s="42" t="s">
        <v>134</v>
      </c>
      <c r="D11" s="51" t="s">
        <v>52</v>
      </c>
      <c r="E11" s="42" t="s">
        <v>78</v>
      </c>
      <c r="F11" s="41" t="s">
        <v>142</v>
      </c>
      <c r="G11" s="41" t="s">
        <v>143</v>
      </c>
      <c r="H11" s="41" t="s">
        <v>144</v>
      </c>
      <c r="I11" s="41" t="s">
        <v>145</v>
      </c>
      <c r="J11" s="41" t="s">
        <v>146</v>
      </c>
      <c r="K11" s="44" t="s">
        <v>84</v>
      </c>
      <c r="L11" s="42" t="s">
        <v>85</v>
      </c>
      <c r="M11" s="42" t="s">
        <v>18</v>
      </c>
      <c r="N11" s="45">
        <v>46360.0</v>
      </c>
      <c r="O11" s="42" t="s">
        <v>86</v>
      </c>
      <c r="P11" s="39"/>
      <c r="Q11" s="39"/>
      <c r="R11" s="39"/>
    </row>
    <row r="12" ht="120.0" customHeight="1">
      <c r="A12" s="46" t="s">
        <v>147</v>
      </c>
      <c r="B12" s="47" t="s">
        <v>148</v>
      </c>
      <c r="C12" s="48" t="s">
        <v>149</v>
      </c>
      <c r="D12" s="51" t="s">
        <v>52</v>
      </c>
      <c r="E12" s="48" t="s">
        <v>78</v>
      </c>
      <c r="F12" s="47" t="s">
        <v>150</v>
      </c>
      <c r="G12" s="47" t="s">
        <v>151</v>
      </c>
      <c r="H12" s="47" t="s">
        <v>152</v>
      </c>
      <c r="I12" s="47" t="s">
        <v>153</v>
      </c>
      <c r="J12" s="47" t="s">
        <v>154</v>
      </c>
      <c r="K12" s="49" t="s">
        <v>96</v>
      </c>
      <c r="L12" s="48" t="s">
        <v>155</v>
      </c>
      <c r="M12" s="48" t="s">
        <v>18</v>
      </c>
      <c r="N12" s="50">
        <v>46360.0</v>
      </c>
      <c r="O12" s="48" t="s">
        <v>156</v>
      </c>
      <c r="P12" s="39"/>
      <c r="Q12" s="39"/>
      <c r="R12" s="39"/>
    </row>
    <row r="13" ht="120.0" customHeight="1">
      <c r="A13" s="40" t="s">
        <v>157</v>
      </c>
      <c r="B13" s="41" t="s">
        <v>158</v>
      </c>
      <c r="C13" s="42" t="s">
        <v>159</v>
      </c>
      <c r="D13" s="51" t="s">
        <v>52</v>
      </c>
      <c r="E13" s="42" t="s">
        <v>78</v>
      </c>
      <c r="F13" s="41" t="s">
        <v>79</v>
      </c>
      <c r="G13" s="41" t="s">
        <v>160</v>
      </c>
      <c r="H13" s="41" t="s">
        <v>161</v>
      </c>
      <c r="I13" s="41" t="s">
        <v>162</v>
      </c>
      <c r="J13" s="41" t="s">
        <v>163</v>
      </c>
      <c r="K13" s="44" t="s">
        <v>84</v>
      </c>
      <c r="L13" s="42" t="s">
        <v>85</v>
      </c>
      <c r="M13" s="42" t="s">
        <v>18</v>
      </c>
      <c r="N13" s="45">
        <v>46360.0</v>
      </c>
      <c r="O13" s="42" t="s">
        <v>86</v>
      </c>
      <c r="P13" s="39"/>
      <c r="Q13" s="39"/>
      <c r="R13" s="39"/>
    </row>
    <row r="14" ht="120.0" customHeight="1">
      <c r="A14" s="46" t="s">
        <v>164</v>
      </c>
      <c r="B14" s="47" t="s">
        <v>165</v>
      </c>
      <c r="C14" s="48" t="s">
        <v>166</v>
      </c>
      <c r="D14" s="51" t="s">
        <v>52</v>
      </c>
      <c r="E14" s="48" t="s">
        <v>78</v>
      </c>
      <c r="F14" s="47" t="s">
        <v>79</v>
      </c>
      <c r="G14" s="47" t="s">
        <v>167</v>
      </c>
      <c r="H14" s="47" t="s">
        <v>168</v>
      </c>
      <c r="I14" s="47" t="s">
        <v>169</v>
      </c>
      <c r="J14" s="47" t="s">
        <v>170</v>
      </c>
      <c r="K14" s="44" t="s">
        <v>84</v>
      </c>
      <c r="L14" s="48" t="s">
        <v>85</v>
      </c>
      <c r="M14" s="48" t="s">
        <v>18</v>
      </c>
      <c r="N14" s="50">
        <v>46360.0</v>
      </c>
      <c r="O14" s="48" t="s">
        <v>86</v>
      </c>
      <c r="P14" s="39"/>
      <c r="Q14" s="39"/>
      <c r="R14" s="39"/>
    </row>
    <row r="15" ht="120.0" customHeight="1">
      <c r="A15" s="40" t="s">
        <v>171</v>
      </c>
      <c r="B15" s="41" t="s">
        <v>172</v>
      </c>
      <c r="C15" s="42" t="s">
        <v>166</v>
      </c>
      <c r="D15" s="51" t="s">
        <v>52</v>
      </c>
      <c r="E15" s="42" t="s">
        <v>78</v>
      </c>
      <c r="F15" s="41" t="s">
        <v>79</v>
      </c>
      <c r="G15" s="41" t="s">
        <v>173</v>
      </c>
      <c r="H15" s="41" t="s">
        <v>174</v>
      </c>
      <c r="I15" s="41" t="s">
        <v>175</v>
      </c>
      <c r="J15" s="41" t="s">
        <v>176</v>
      </c>
      <c r="K15" s="44" t="s">
        <v>84</v>
      </c>
      <c r="L15" s="42" t="s">
        <v>85</v>
      </c>
      <c r="M15" s="42" t="s">
        <v>18</v>
      </c>
      <c r="N15" s="45">
        <v>46360.0</v>
      </c>
      <c r="O15" s="42" t="s">
        <v>86</v>
      </c>
      <c r="P15" s="39"/>
      <c r="Q15" s="39"/>
      <c r="R15" s="39"/>
    </row>
    <row r="16" ht="120.0" customHeight="1">
      <c r="A16" s="46" t="s">
        <v>177</v>
      </c>
      <c r="B16" s="47" t="s">
        <v>178</v>
      </c>
      <c r="C16" s="48" t="s">
        <v>179</v>
      </c>
      <c r="D16" s="51" t="s">
        <v>52</v>
      </c>
      <c r="E16" s="48" t="s">
        <v>78</v>
      </c>
      <c r="F16" s="47" t="s">
        <v>180</v>
      </c>
      <c r="G16" s="47" t="s">
        <v>181</v>
      </c>
      <c r="H16" s="47" t="s">
        <v>182</v>
      </c>
      <c r="I16" s="47" t="s">
        <v>183</v>
      </c>
      <c r="J16" s="47" t="s">
        <v>184</v>
      </c>
      <c r="K16" s="44" t="s">
        <v>84</v>
      </c>
      <c r="L16" s="48" t="s">
        <v>85</v>
      </c>
      <c r="M16" s="48" t="s">
        <v>18</v>
      </c>
      <c r="N16" s="50">
        <v>46360.0</v>
      </c>
      <c r="O16" s="48" t="s">
        <v>86</v>
      </c>
      <c r="P16" s="39"/>
      <c r="Q16" s="39"/>
      <c r="R16" s="39"/>
    </row>
    <row r="17" ht="120.0" customHeight="1">
      <c r="A17" s="40" t="s">
        <v>185</v>
      </c>
      <c r="B17" s="41" t="s">
        <v>186</v>
      </c>
      <c r="C17" s="42" t="s">
        <v>187</v>
      </c>
      <c r="D17" s="51" t="s">
        <v>52</v>
      </c>
      <c r="E17" s="42" t="s">
        <v>78</v>
      </c>
      <c r="F17" s="41" t="s">
        <v>180</v>
      </c>
      <c r="G17" s="41" t="s">
        <v>188</v>
      </c>
      <c r="H17" s="41" t="s">
        <v>189</v>
      </c>
      <c r="I17" s="41" t="s">
        <v>190</v>
      </c>
      <c r="J17" s="41" t="s">
        <v>191</v>
      </c>
      <c r="K17" s="44" t="s">
        <v>84</v>
      </c>
      <c r="L17" s="42" t="s">
        <v>85</v>
      </c>
      <c r="M17" s="42" t="s">
        <v>18</v>
      </c>
      <c r="N17" s="45">
        <v>46360.0</v>
      </c>
      <c r="O17" s="42" t="s">
        <v>86</v>
      </c>
      <c r="P17" s="39"/>
      <c r="Q17" s="39"/>
      <c r="R17" s="39"/>
    </row>
    <row r="18" ht="120.0" customHeight="1">
      <c r="A18" s="46" t="s">
        <v>192</v>
      </c>
      <c r="B18" s="47" t="s">
        <v>193</v>
      </c>
      <c r="C18" s="48" t="s">
        <v>134</v>
      </c>
      <c r="D18" s="51" t="s">
        <v>52</v>
      </c>
      <c r="E18" s="48" t="s">
        <v>78</v>
      </c>
      <c r="F18" s="47" t="s">
        <v>180</v>
      </c>
      <c r="G18" s="47" t="s">
        <v>194</v>
      </c>
      <c r="H18" s="47" t="s">
        <v>195</v>
      </c>
      <c r="I18" s="47" t="s">
        <v>196</v>
      </c>
      <c r="J18" s="47" t="s">
        <v>197</v>
      </c>
      <c r="K18" s="44" t="s">
        <v>84</v>
      </c>
      <c r="L18" s="48" t="s">
        <v>85</v>
      </c>
      <c r="M18" s="48" t="s">
        <v>18</v>
      </c>
      <c r="N18" s="50">
        <v>46360.0</v>
      </c>
      <c r="O18" s="48" t="s">
        <v>86</v>
      </c>
      <c r="P18" s="39"/>
      <c r="Q18" s="39"/>
      <c r="R18" s="39"/>
    </row>
    <row r="19" ht="120.0" customHeight="1">
      <c r="A19" s="40" t="s">
        <v>198</v>
      </c>
      <c r="B19" s="41" t="s">
        <v>199</v>
      </c>
      <c r="C19" s="42" t="s">
        <v>149</v>
      </c>
      <c r="D19" s="51" t="s">
        <v>52</v>
      </c>
      <c r="E19" s="42" t="s">
        <v>78</v>
      </c>
      <c r="F19" s="41" t="s">
        <v>180</v>
      </c>
      <c r="G19" s="41" t="s">
        <v>200</v>
      </c>
      <c r="H19" s="41" t="s">
        <v>201</v>
      </c>
      <c r="I19" s="41" t="s">
        <v>202</v>
      </c>
      <c r="J19" s="41" t="s">
        <v>203</v>
      </c>
      <c r="K19" s="44" t="s">
        <v>84</v>
      </c>
      <c r="L19" s="42" t="s">
        <v>85</v>
      </c>
      <c r="M19" s="42" t="s">
        <v>18</v>
      </c>
      <c r="N19" s="45">
        <v>46360.0</v>
      </c>
      <c r="O19" s="42" t="s">
        <v>86</v>
      </c>
      <c r="P19" s="39"/>
      <c r="Q19" s="39"/>
      <c r="R19" s="39"/>
    </row>
    <row r="20" ht="120.0" customHeight="1">
      <c r="A20" s="46" t="s">
        <v>204</v>
      </c>
      <c r="B20" s="47" t="s">
        <v>205</v>
      </c>
      <c r="C20" s="48" t="s">
        <v>159</v>
      </c>
      <c r="D20" s="51" t="s">
        <v>52</v>
      </c>
      <c r="E20" s="48" t="s">
        <v>78</v>
      </c>
      <c r="F20" s="47" t="s">
        <v>180</v>
      </c>
      <c r="G20" s="47" t="s">
        <v>206</v>
      </c>
      <c r="H20" s="47" t="s">
        <v>207</v>
      </c>
      <c r="I20" s="47" t="s">
        <v>208</v>
      </c>
      <c r="J20" s="47" t="s">
        <v>209</v>
      </c>
      <c r="K20" s="44" t="s">
        <v>84</v>
      </c>
      <c r="L20" s="48" t="s">
        <v>85</v>
      </c>
      <c r="M20" s="48" t="s">
        <v>18</v>
      </c>
      <c r="N20" s="50">
        <v>46360.0</v>
      </c>
      <c r="O20" s="48" t="s">
        <v>86</v>
      </c>
      <c r="P20" s="39"/>
      <c r="Q20" s="39"/>
      <c r="R20" s="39"/>
    </row>
    <row r="21" ht="120.0" customHeight="1">
      <c r="A21" s="40" t="s">
        <v>210</v>
      </c>
      <c r="B21" s="41" t="s">
        <v>211</v>
      </c>
      <c r="C21" s="42" t="s">
        <v>159</v>
      </c>
      <c r="D21" s="51" t="s">
        <v>52</v>
      </c>
      <c r="E21" s="42" t="s">
        <v>78</v>
      </c>
      <c r="F21" s="41" t="s">
        <v>180</v>
      </c>
      <c r="G21" s="41" t="s">
        <v>212</v>
      </c>
      <c r="H21" s="41" t="s">
        <v>213</v>
      </c>
      <c r="I21" s="41" t="s">
        <v>162</v>
      </c>
      <c r="J21" s="41" t="s">
        <v>214</v>
      </c>
      <c r="K21" s="44" t="s">
        <v>84</v>
      </c>
      <c r="L21" s="42" t="s">
        <v>85</v>
      </c>
      <c r="M21" s="42" t="s">
        <v>18</v>
      </c>
      <c r="N21" s="45">
        <v>46360.0</v>
      </c>
      <c r="O21" s="42" t="s">
        <v>86</v>
      </c>
      <c r="P21" s="39"/>
      <c r="Q21" s="39"/>
      <c r="R21" s="39"/>
    </row>
    <row r="22" ht="120.0" customHeight="1">
      <c r="A22" s="46" t="s">
        <v>215</v>
      </c>
      <c r="B22" s="47" t="s">
        <v>216</v>
      </c>
      <c r="C22" s="48" t="s">
        <v>159</v>
      </c>
      <c r="D22" s="51" t="s">
        <v>52</v>
      </c>
      <c r="E22" s="48" t="s">
        <v>78</v>
      </c>
      <c r="F22" s="47" t="s">
        <v>79</v>
      </c>
      <c r="G22" s="47" t="s">
        <v>217</v>
      </c>
      <c r="H22" s="47" t="s">
        <v>218</v>
      </c>
      <c r="I22" s="47" t="s">
        <v>219</v>
      </c>
      <c r="J22" s="47" t="s">
        <v>220</v>
      </c>
      <c r="K22" s="44" t="s">
        <v>84</v>
      </c>
      <c r="L22" s="48" t="s">
        <v>85</v>
      </c>
      <c r="M22" s="48" t="s">
        <v>18</v>
      </c>
      <c r="N22" s="50">
        <v>46360.0</v>
      </c>
      <c r="O22" s="48" t="s">
        <v>86</v>
      </c>
      <c r="P22" s="39"/>
      <c r="Q22" s="39"/>
      <c r="R22" s="39"/>
    </row>
    <row r="23" ht="120.0" customHeight="1">
      <c r="A23" s="40" t="s">
        <v>221</v>
      </c>
      <c r="B23" s="41" t="s">
        <v>222</v>
      </c>
      <c r="C23" s="42" t="s">
        <v>179</v>
      </c>
      <c r="D23" s="51" t="s">
        <v>52</v>
      </c>
      <c r="E23" s="42" t="s">
        <v>78</v>
      </c>
      <c r="F23" s="41" t="s">
        <v>180</v>
      </c>
      <c r="G23" s="41" t="s">
        <v>223</v>
      </c>
      <c r="H23" s="41" t="s">
        <v>224</v>
      </c>
      <c r="I23" s="41" t="s">
        <v>225</v>
      </c>
      <c r="J23" s="41" t="s">
        <v>226</v>
      </c>
      <c r="K23" s="49" t="s">
        <v>96</v>
      </c>
      <c r="L23" s="42" t="s">
        <v>155</v>
      </c>
      <c r="M23" s="42" t="s">
        <v>18</v>
      </c>
      <c r="N23" s="45">
        <v>46360.0</v>
      </c>
      <c r="O23" s="42" t="s">
        <v>227</v>
      </c>
      <c r="P23" s="39"/>
      <c r="Q23" s="39"/>
      <c r="R23" s="39"/>
    </row>
    <row r="24" ht="120.0" customHeight="1">
      <c r="A24" s="46" t="s">
        <v>228</v>
      </c>
      <c r="B24" s="47" t="s">
        <v>229</v>
      </c>
      <c r="C24" s="48" t="s">
        <v>179</v>
      </c>
      <c r="D24" s="51" t="s">
        <v>52</v>
      </c>
      <c r="E24" s="48" t="s">
        <v>78</v>
      </c>
      <c r="F24" s="47" t="s">
        <v>180</v>
      </c>
      <c r="G24" s="47" t="s">
        <v>230</v>
      </c>
      <c r="H24" s="47" t="s">
        <v>231</v>
      </c>
      <c r="I24" s="47" t="s">
        <v>225</v>
      </c>
      <c r="J24" s="47" t="s">
        <v>232</v>
      </c>
      <c r="K24" s="49" t="s">
        <v>96</v>
      </c>
      <c r="L24" s="48" t="s">
        <v>155</v>
      </c>
      <c r="M24" s="48" t="s">
        <v>18</v>
      </c>
      <c r="N24" s="50">
        <v>46360.0</v>
      </c>
      <c r="O24" s="48" t="s">
        <v>233</v>
      </c>
      <c r="P24" s="39"/>
      <c r="Q24" s="39"/>
      <c r="R24" s="39"/>
    </row>
    <row r="25" ht="120.0" customHeight="1">
      <c r="A25" s="40" t="s">
        <v>234</v>
      </c>
      <c r="B25" s="41" t="s">
        <v>235</v>
      </c>
      <c r="C25" s="42" t="s">
        <v>179</v>
      </c>
      <c r="D25" s="51" t="s">
        <v>52</v>
      </c>
      <c r="E25" s="42" t="s">
        <v>78</v>
      </c>
      <c r="F25" s="41" t="s">
        <v>180</v>
      </c>
      <c r="G25" s="41" t="s">
        <v>236</v>
      </c>
      <c r="H25" s="41" t="s">
        <v>237</v>
      </c>
      <c r="I25" s="41" t="s">
        <v>183</v>
      </c>
      <c r="J25" s="41" t="s">
        <v>238</v>
      </c>
      <c r="K25" s="44" t="s">
        <v>84</v>
      </c>
      <c r="L25" s="42" t="s">
        <v>155</v>
      </c>
      <c r="M25" s="42" t="s">
        <v>18</v>
      </c>
      <c r="N25" s="45">
        <v>46360.0</v>
      </c>
      <c r="O25" s="42" t="s">
        <v>86</v>
      </c>
      <c r="P25" s="39"/>
      <c r="Q25" s="39"/>
      <c r="R25" s="39"/>
    </row>
    <row r="26" ht="120.0" customHeight="1">
      <c r="A26" s="46" t="s">
        <v>239</v>
      </c>
      <c r="B26" s="47" t="s">
        <v>240</v>
      </c>
      <c r="C26" s="48" t="s">
        <v>187</v>
      </c>
      <c r="D26" s="51" t="s">
        <v>52</v>
      </c>
      <c r="E26" s="48" t="s">
        <v>78</v>
      </c>
      <c r="F26" s="47" t="s">
        <v>180</v>
      </c>
      <c r="G26" s="47" t="s">
        <v>241</v>
      </c>
      <c r="H26" s="47" t="s">
        <v>242</v>
      </c>
      <c r="I26" s="47" t="s">
        <v>243</v>
      </c>
      <c r="J26" s="47" t="s">
        <v>244</v>
      </c>
      <c r="K26" s="49" t="s">
        <v>96</v>
      </c>
      <c r="L26" s="48" t="s">
        <v>155</v>
      </c>
      <c r="M26" s="48" t="s">
        <v>18</v>
      </c>
      <c r="N26" s="50">
        <v>46360.0</v>
      </c>
      <c r="O26" s="48" t="s">
        <v>245</v>
      </c>
      <c r="P26" s="39"/>
      <c r="Q26" s="39"/>
      <c r="R26" s="39"/>
    </row>
    <row r="27" ht="120.0" customHeight="1">
      <c r="A27" s="40" t="s">
        <v>246</v>
      </c>
      <c r="B27" s="41" t="s">
        <v>247</v>
      </c>
      <c r="C27" s="42" t="s">
        <v>187</v>
      </c>
      <c r="D27" s="51" t="s">
        <v>52</v>
      </c>
      <c r="E27" s="42" t="s">
        <v>78</v>
      </c>
      <c r="F27" s="41" t="s">
        <v>180</v>
      </c>
      <c r="G27" s="41" t="s">
        <v>248</v>
      </c>
      <c r="H27" s="41" t="s">
        <v>249</v>
      </c>
      <c r="I27" s="41" t="s">
        <v>250</v>
      </c>
      <c r="J27" s="41" t="s">
        <v>251</v>
      </c>
      <c r="K27" s="49" t="s">
        <v>96</v>
      </c>
      <c r="L27" s="42" t="s">
        <v>155</v>
      </c>
      <c r="M27" s="42" t="s">
        <v>18</v>
      </c>
      <c r="N27" s="45">
        <v>46360.0</v>
      </c>
      <c r="O27" s="42" t="s">
        <v>252</v>
      </c>
      <c r="P27" s="39"/>
      <c r="Q27" s="39"/>
      <c r="R27" s="39"/>
    </row>
    <row r="28" ht="120.0" customHeight="1">
      <c r="A28" s="46" t="s">
        <v>253</v>
      </c>
      <c r="B28" s="47" t="s">
        <v>254</v>
      </c>
      <c r="C28" s="48" t="s">
        <v>187</v>
      </c>
      <c r="D28" s="51" t="s">
        <v>52</v>
      </c>
      <c r="E28" s="48" t="s">
        <v>78</v>
      </c>
      <c r="F28" s="47" t="s">
        <v>180</v>
      </c>
      <c r="G28" s="47" t="s">
        <v>255</v>
      </c>
      <c r="H28" s="47" t="s">
        <v>256</v>
      </c>
      <c r="I28" s="47" t="s">
        <v>257</v>
      </c>
      <c r="J28" s="47" t="s">
        <v>258</v>
      </c>
      <c r="K28" s="44" t="s">
        <v>84</v>
      </c>
      <c r="L28" s="48" t="s">
        <v>155</v>
      </c>
      <c r="M28" s="48" t="s">
        <v>18</v>
      </c>
      <c r="N28" s="50">
        <v>46360.0</v>
      </c>
      <c r="O28" s="48" t="s">
        <v>86</v>
      </c>
      <c r="P28" s="39"/>
      <c r="Q28" s="39"/>
      <c r="R28" s="39"/>
    </row>
    <row r="29" ht="120.0" customHeight="1">
      <c r="A29" s="40" t="s">
        <v>259</v>
      </c>
      <c r="B29" s="41" t="s">
        <v>260</v>
      </c>
      <c r="C29" s="42" t="s">
        <v>134</v>
      </c>
      <c r="D29" s="51" t="s">
        <v>52</v>
      </c>
      <c r="E29" s="42" t="s">
        <v>78</v>
      </c>
      <c r="F29" s="41" t="s">
        <v>180</v>
      </c>
      <c r="G29" s="41" t="s">
        <v>261</v>
      </c>
      <c r="H29" s="41" t="s">
        <v>262</v>
      </c>
      <c r="I29" s="41" t="s">
        <v>263</v>
      </c>
      <c r="J29" s="41" t="s">
        <v>264</v>
      </c>
      <c r="K29" s="44" t="s">
        <v>84</v>
      </c>
      <c r="L29" s="42" t="s">
        <v>155</v>
      </c>
      <c r="M29" s="42" t="s">
        <v>18</v>
      </c>
      <c r="N29" s="45">
        <v>46360.0</v>
      </c>
      <c r="O29" s="42" t="s">
        <v>86</v>
      </c>
      <c r="P29" s="39"/>
      <c r="Q29" s="39"/>
      <c r="R29" s="39"/>
    </row>
    <row r="30" ht="120.0" customHeight="1">
      <c r="A30" s="46" t="s">
        <v>265</v>
      </c>
      <c r="B30" s="47" t="s">
        <v>266</v>
      </c>
      <c r="C30" s="48" t="s">
        <v>134</v>
      </c>
      <c r="D30" s="51" t="s">
        <v>52</v>
      </c>
      <c r="E30" s="48" t="s">
        <v>78</v>
      </c>
      <c r="F30" s="47" t="s">
        <v>180</v>
      </c>
      <c r="G30" s="47" t="s">
        <v>267</v>
      </c>
      <c r="H30" s="47" t="s">
        <v>268</v>
      </c>
      <c r="I30" s="47" t="s">
        <v>269</v>
      </c>
      <c r="J30" s="47" t="s">
        <v>270</v>
      </c>
      <c r="K30" s="44" t="s">
        <v>84</v>
      </c>
      <c r="L30" s="48" t="s">
        <v>155</v>
      </c>
      <c r="M30" s="48" t="s">
        <v>18</v>
      </c>
      <c r="N30" s="50">
        <v>46360.0</v>
      </c>
      <c r="O30" s="48" t="s">
        <v>86</v>
      </c>
      <c r="P30" s="39"/>
      <c r="Q30" s="39"/>
      <c r="R30" s="39"/>
    </row>
    <row r="31" ht="120.0" customHeight="1">
      <c r="A31" s="40" t="s">
        <v>271</v>
      </c>
      <c r="B31" s="41" t="s">
        <v>272</v>
      </c>
      <c r="C31" s="42" t="s">
        <v>134</v>
      </c>
      <c r="D31" s="51" t="s">
        <v>52</v>
      </c>
      <c r="E31" s="42" t="s">
        <v>78</v>
      </c>
      <c r="F31" s="41" t="s">
        <v>180</v>
      </c>
      <c r="G31" s="41" t="s">
        <v>273</v>
      </c>
      <c r="H31" s="41" t="s">
        <v>274</v>
      </c>
      <c r="I31" s="41" t="s">
        <v>269</v>
      </c>
      <c r="J31" s="41" t="s">
        <v>275</v>
      </c>
      <c r="K31" s="44" t="s">
        <v>84</v>
      </c>
      <c r="L31" s="42" t="s">
        <v>155</v>
      </c>
      <c r="M31" s="42" t="s">
        <v>18</v>
      </c>
      <c r="N31" s="45">
        <v>46360.0</v>
      </c>
      <c r="O31" s="42" t="s">
        <v>86</v>
      </c>
      <c r="P31" s="39"/>
      <c r="Q31" s="39"/>
      <c r="R31" s="39"/>
    </row>
    <row r="32" ht="120.0" customHeight="1">
      <c r="A32" s="46" t="s">
        <v>276</v>
      </c>
      <c r="B32" s="47" t="s">
        <v>277</v>
      </c>
      <c r="C32" s="48" t="s">
        <v>134</v>
      </c>
      <c r="D32" s="51" t="s">
        <v>52</v>
      </c>
      <c r="E32" s="48" t="s">
        <v>78</v>
      </c>
      <c r="F32" s="47" t="s">
        <v>180</v>
      </c>
      <c r="G32" s="47" t="s">
        <v>278</v>
      </c>
      <c r="H32" s="47" t="s">
        <v>279</v>
      </c>
      <c r="I32" s="47" t="s">
        <v>196</v>
      </c>
      <c r="J32" s="47" t="s">
        <v>280</v>
      </c>
      <c r="K32" s="44" t="s">
        <v>84</v>
      </c>
      <c r="L32" s="48" t="s">
        <v>155</v>
      </c>
      <c r="M32" s="48" t="s">
        <v>18</v>
      </c>
      <c r="N32" s="50">
        <v>46360.0</v>
      </c>
      <c r="O32" s="48" t="s">
        <v>86</v>
      </c>
      <c r="P32" s="39"/>
      <c r="Q32" s="39"/>
      <c r="R32" s="39"/>
    </row>
    <row r="33" ht="120.0" customHeight="1">
      <c r="A33" s="40" t="s">
        <v>281</v>
      </c>
      <c r="B33" s="41" t="s">
        <v>282</v>
      </c>
      <c r="C33" s="42" t="s">
        <v>134</v>
      </c>
      <c r="D33" s="51" t="s">
        <v>52</v>
      </c>
      <c r="E33" s="42" t="s">
        <v>78</v>
      </c>
      <c r="F33" s="41" t="s">
        <v>180</v>
      </c>
      <c r="G33" s="41" t="s">
        <v>283</v>
      </c>
      <c r="H33" s="41" t="s">
        <v>284</v>
      </c>
      <c r="I33" s="41" t="s">
        <v>196</v>
      </c>
      <c r="J33" s="41" t="s">
        <v>285</v>
      </c>
      <c r="K33" s="44" t="s">
        <v>84</v>
      </c>
      <c r="L33" s="42" t="s">
        <v>155</v>
      </c>
      <c r="M33" s="42" t="s">
        <v>18</v>
      </c>
      <c r="N33" s="45">
        <v>46360.0</v>
      </c>
      <c r="O33" s="42" t="s">
        <v>86</v>
      </c>
      <c r="P33" s="39"/>
      <c r="Q33" s="39"/>
      <c r="R33" s="39"/>
    </row>
    <row r="34" ht="120.0" customHeight="1">
      <c r="A34" s="46" t="s">
        <v>286</v>
      </c>
      <c r="B34" s="47" t="s">
        <v>287</v>
      </c>
      <c r="C34" s="48" t="s">
        <v>134</v>
      </c>
      <c r="D34" s="51" t="s">
        <v>52</v>
      </c>
      <c r="E34" s="48" t="s">
        <v>78</v>
      </c>
      <c r="F34" s="47" t="s">
        <v>180</v>
      </c>
      <c r="G34" s="47" t="s">
        <v>288</v>
      </c>
      <c r="H34" s="47" t="s">
        <v>289</v>
      </c>
      <c r="I34" s="47" t="s">
        <v>196</v>
      </c>
      <c r="J34" s="47" t="s">
        <v>290</v>
      </c>
      <c r="K34" s="49" t="s">
        <v>96</v>
      </c>
      <c r="L34" s="48" t="s">
        <v>155</v>
      </c>
      <c r="M34" s="48" t="s">
        <v>18</v>
      </c>
      <c r="N34" s="50">
        <v>46360.0</v>
      </c>
      <c r="O34" s="48" t="s">
        <v>291</v>
      </c>
      <c r="P34" s="39"/>
      <c r="Q34" s="39"/>
      <c r="R34" s="39"/>
    </row>
    <row r="35" ht="120.0" customHeight="1">
      <c r="A35" s="40" t="s">
        <v>292</v>
      </c>
      <c r="B35" s="41" t="s">
        <v>293</v>
      </c>
      <c r="C35" s="42" t="s">
        <v>149</v>
      </c>
      <c r="D35" s="51" t="s">
        <v>52</v>
      </c>
      <c r="E35" s="42" t="s">
        <v>78</v>
      </c>
      <c r="F35" s="41" t="s">
        <v>180</v>
      </c>
      <c r="G35" s="41" t="s">
        <v>294</v>
      </c>
      <c r="H35" s="41" t="s">
        <v>295</v>
      </c>
      <c r="I35" s="41" t="s">
        <v>296</v>
      </c>
      <c r="J35" s="41" t="s">
        <v>297</v>
      </c>
      <c r="K35" s="49" t="s">
        <v>96</v>
      </c>
      <c r="L35" s="42" t="s">
        <v>155</v>
      </c>
      <c r="M35" s="42" t="s">
        <v>18</v>
      </c>
      <c r="N35" s="45">
        <v>46360.0</v>
      </c>
      <c r="O35" s="42" t="s">
        <v>298</v>
      </c>
      <c r="P35" s="39"/>
      <c r="Q35" s="39"/>
      <c r="R35" s="39"/>
    </row>
    <row r="36" ht="120.0" customHeight="1">
      <c r="A36" s="46" t="s">
        <v>299</v>
      </c>
      <c r="B36" s="47" t="s">
        <v>300</v>
      </c>
      <c r="C36" s="48" t="s">
        <v>149</v>
      </c>
      <c r="D36" s="51" t="s">
        <v>52</v>
      </c>
      <c r="E36" s="48" t="s">
        <v>78</v>
      </c>
      <c r="F36" s="47" t="s">
        <v>180</v>
      </c>
      <c r="G36" s="47" t="s">
        <v>301</v>
      </c>
      <c r="H36" s="47" t="s">
        <v>302</v>
      </c>
      <c r="I36" s="47" t="s">
        <v>303</v>
      </c>
      <c r="J36" s="47" t="s">
        <v>304</v>
      </c>
      <c r="K36" s="49" t="s">
        <v>96</v>
      </c>
      <c r="L36" s="48" t="s">
        <v>155</v>
      </c>
      <c r="M36" s="48" t="s">
        <v>18</v>
      </c>
      <c r="N36" s="50">
        <v>46360.0</v>
      </c>
      <c r="O36" s="48" t="s">
        <v>305</v>
      </c>
      <c r="P36" s="39"/>
      <c r="Q36" s="39"/>
      <c r="R36" s="39"/>
    </row>
    <row r="37" ht="120.0" customHeight="1">
      <c r="A37" s="40" t="s">
        <v>306</v>
      </c>
      <c r="B37" s="41" t="s">
        <v>307</v>
      </c>
      <c r="C37" s="42" t="s">
        <v>149</v>
      </c>
      <c r="D37" s="51" t="s">
        <v>52</v>
      </c>
      <c r="E37" s="42" t="s">
        <v>78</v>
      </c>
      <c r="F37" s="41" t="s">
        <v>180</v>
      </c>
      <c r="G37" s="41" t="s">
        <v>308</v>
      </c>
      <c r="H37" s="41" t="s">
        <v>309</v>
      </c>
      <c r="I37" s="41" t="s">
        <v>310</v>
      </c>
      <c r="J37" s="41" t="s">
        <v>311</v>
      </c>
      <c r="K37" s="49" t="s">
        <v>96</v>
      </c>
      <c r="L37" s="42" t="s">
        <v>155</v>
      </c>
      <c r="M37" s="42" t="s">
        <v>18</v>
      </c>
      <c r="N37" s="45">
        <v>46360.0</v>
      </c>
      <c r="O37" s="42" t="s">
        <v>312</v>
      </c>
      <c r="P37" s="39"/>
      <c r="Q37" s="39"/>
      <c r="R37" s="39"/>
    </row>
    <row r="38" ht="120.0" customHeight="1">
      <c r="A38" s="46" t="s">
        <v>313</v>
      </c>
      <c r="B38" s="47" t="s">
        <v>314</v>
      </c>
      <c r="C38" s="48" t="s">
        <v>159</v>
      </c>
      <c r="D38" s="51" t="s">
        <v>52</v>
      </c>
      <c r="E38" s="48" t="s">
        <v>78</v>
      </c>
      <c r="F38" s="47" t="s">
        <v>180</v>
      </c>
      <c r="G38" s="47" t="s">
        <v>315</v>
      </c>
      <c r="H38" s="47" t="s">
        <v>316</v>
      </c>
      <c r="I38" s="47" t="s">
        <v>208</v>
      </c>
      <c r="J38" s="47" t="s">
        <v>317</v>
      </c>
      <c r="K38" s="49" t="s">
        <v>96</v>
      </c>
      <c r="L38" s="48" t="s">
        <v>155</v>
      </c>
      <c r="M38" s="48" t="s">
        <v>18</v>
      </c>
      <c r="N38" s="50">
        <v>46360.0</v>
      </c>
      <c r="O38" s="48" t="s">
        <v>318</v>
      </c>
      <c r="P38" s="39"/>
      <c r="Q38" s="39"/>
      <c r="R38" s="39"/>
    </row>
    <row r="39" ht="120.0" customHeight="1">
      <c r="A39" s="40" t="s">
        <v>319</v>
      </c>
      <c r="B39" s="41" t="s">
        <v>320</v>
      </c>
      <c r="C39" s="42" t="s">
        <v>321</v>
      </c>
      <c r="D39" s="51" t="s">
        <v>52</v>
      </c>
      <c r="E39" s="42" t="s">
        <v>78</v>
      </c>
      <c r="F39" s="41" t="s">
        <v>180</v>
      </c>
      <c r="G39" s="41" t="s">
        <v>322</v>
      </c>
      <c r="H39" s="41" t="s">
        <v>323</v>
      </c>
      <c r="I39" s="41" t="s">
        <v>324</v>
      </c>
      <c r="J39" s="41" t="s">
        <v>325</v>
      </c>
      <c r="K39" s="49" t="s">
        <v>96</v>
      </c>
      <c r="L39" s="42" t="s">
        <v>155</v>
      </c>
      <c r="M39" s="42" t="s">
        <v>18</v>
      </c>
      <c r="N39" s="45">
        <v>46360.0</v>
      </c>
      <c r="O39" s="42" t="s">
        <v>326</v>
      </c>
      <c r="P39" s="39"/>
      <c r="Q39" s="39"/>
      <c r="R39" s="39"/>
    </row>
    <row r="40" ht="120.0" customHeight="1">
      <c r="A40" s="46" t="s">
        <v>327</v>
      </c>
      <c r="B40" s="47" t="s">
        <v>328</v>
      </c>
      <c r="C40" s="48" t="s">
        <v>321</v>
      </c>
      <c r="D40" s="51" t="s">
        <v>52</v>
      </c>
      <c r="E40" s="48" t="s">
        <v>78</v>
      </c>
      <c r="F40" s="47" t="s">
        <v>180</v>
      </c>
      <c r="G40" s="47" t="s">
        <v>329</v>
      </c>
      <c r="H40" s="47" t="s">
        <v>330</v>
      </c>
      <c r="I40" s="47" t="s">
        <v>324</v>
      </c>
      <c r="J40" s="47" t="s">
        <v>331</v>
      </c>
      <c r="K40" s="49" t="s">
        <v>96</v>
      </c>
      <c r="L40" s="48" t="s">
        <v>155</v>
      </c>
      <c r="M40" s="48" t="s">
        <v>18</v>
      </c>
      <c r="N40" s="50">
        <v>46360.0</v>
      </c>
      <c r="O40" s="48" t="s">
        <v>332</v>
      </c>
      <c r="P40" s="39"/>
      <c r="Q40" s="39"/>
      <c r="R40" s="39"/>
    </row>
    <row r="41" ht="120.0" customHeight="1">
      <c r="A41" s="40" t="s">
        <v>333</v>
      </c>
      <c r="B41" s="41" t="s">
        <v>334</v>
      </c>
      <c r="C41" s="42" t="s">
        <v>321</v>
      </c>
      <c r="D41" s="51" t="s">
        <v>52</v>
      </c>
      <c r="E41" s="42" t="s">
        <v>78</v>
      </c>
      <c r="F41" s="41" t="s">
        <v>180</v>
      </c>
      <c r="G41" s="41" t="s">
        <v>335</v>
      </c>
      <c r="H41" s="41" t="s">
        <v>336</v>
      </c>
      <c r="I41" s="41" t="s">
        <v>337</v>
      </c>
      <c r="J41" s="41" t="s">
        <v>338</v>
      </c>
      <c r="K41" s="44" t="s">
        <v>84</v>
      </c>
      <c r="L41" s="42" t="s">
        <v>155</v>
      </c>
      <c r="M41" s="42" t="s">
        <v>18</v>
      </c>
      <c r="N41" s="45">
        <v>46360.0</v>
      </c>
      <c r="O41" s="42" t="s">
        <v>86</v>
      </c>
      <c r="P41" s="39"/>
      <c r="Q41" s="39"/>
      <c r="R41" s="39"/>
    </row>
    <row r="42" ht="120.0" customHeight="1">
      <c r="A42" s="46" t="s">
        <v>339</v>
      </c>
      <c r="B42" s="47" t="s">
        <v>340</v>
      </c>
      <c r="C42" s="48" t="s">
        <v>321</v>
      </c>
      <c r="D42" s="51" t="s">
        <v>52</v>
      </c>
      <c r="E42" s="48" t="s">
        <v>78</v>
      </c>
      <c r="F42" s="47" t="s">
        <v>180</v>
      </c>
      <c r="G42" s="47" t="s">
        <v>341</v>
      </c>
      <c r="H42" s="47" t="s">
        <v>342</v>
      </c>
      <c r="I42" s="47" t="s">
        <v>343</v>
      </c>
      <c r="J42" s="47" t="s">
        <v>344</v>
      </c>
      <c r="K42" s="49" t="s">
        <v>96</v>
      </c>
      <c r="L42" s="48" t="s">
        <v>155</v>
      </c>
      <c r="M42" s="48" t="s">
        <v>18</v>
      </c>
      <c r="N42" s="50">
        <v>46360.0</v>
      </c>
      <c r="O42" s="48" t="s">
        <v>345</v>
      </c>
      <c r="P42" s="39"/>
      <c r="Q42" s="39"/>
      <c r="R42" s="39"/>
    </row>
    <row r="43" ht="120.0" customHeight="1">
      <c r="A43" s="40" t="s">
        <v>346</v>
      </c>
      <c r="B43" s="41" t="s">
        <v>347</v>
      </c>
      <c r="C43" s="42" t="s">
        <v>321</v>
      </c>
      <c r="D43" s="51" t="s">
        <v>52</v>
      </c>
      <c r="E43" s="42" t="s">
        <v>78</v>
      </c>
      <c r="F43" s="41" t="s">
        <v>180</v>
      </c>
      <c r="G43" s="41" t="s">
        <v>348</v>
      </c>
      <c r="H43" s="41" t="s">
        <v>349</v>
      </c>
      <c r="I43" s="41" t="s">
        <v>350</v>
      </c>
      <c r="J43" s="41" t="s">
        <v>351</v>
      </c>
      <c r="K43" s="49" t="s">
        <v>96</v>
      </c>
      <c r="L43" s="42" t="s">
        <v>155</v>
      </c>
      <c r="M43" s="42" t="s">
        <v>18</v>
      </c>
      <c r="N43" s="45">
        <v>46360.0</v>
      </c>
      <c r="O43" s="42" t="s">
        <v>352</v>
      </c>
      <c r="P43" s="39"/>
      <c r="Q43" s="39"/>
      <c r="R43" s="39"/>
    </row>
    <row r="44" ht="120.0" customHeight="1">
      <c r="A44" s="46" t="s">
        <v>353</v>
      </c>
      <c r="B44" s="47" t="s">
        <v>354</v>
      </c>
      <c r="C44" s="48" t="s">
        <v>106</v>
      </c>
      <c r="D44" s="51" t="s">
        <v>52</v>
      </c>
      <c r="E44" s="48" t="s">
        <v>78</v>
      </c>
      <c r="F44" s="47" t="s">
        <v>115</v>
      </c>
      <c r="G44" s="47" t="s">
        <v>355</v>
      </c>
      <c r="H44" s="47" t="s">
        <v>356</v>
      </c>
      <c r="I44" s="47" t="s">
        <v>357</v>
      </c>
      <c r="J44" s="47" t="s">
        <v>358</v>
      </c>
      <c r="K44" s="44" t="s">
        <v>84</v>
      </c>
      <c r="L44" s="48" t="s">
        <v>85</v>
      </c>
      <c r="M44" s="48" t="s">
        <v>18</v>
      </c>
      <c r="N44" s="50">
        <v>46360.0</v>
      </c>
      <c r="O44" s="48" t="s">
        <v>86</v>
      </c>
      <c r="P44" s="39"/>
      <c r="Q44" s="39"/>
      <c r="R44" s="39"/>
    </row>
    <row r="45" ht="120.0" customHeight="1">
      <c r="A45" s="40" t="s">
        <v>359</v>
      </c>
      <c r="B45" s="41" t="s">
        <v>360</v>
      </c>
      <c r="C45" s="42" t="s">
        <v>361</v>
      </c>
      <c r="D45" s="51" t="s">
        <v>52</v>
      </c>
      <c r="E45" s="42" t="s">
        <v>78</v>
      </c>
      <c r="F45" s="41" t="s">
        <v>362</v>
      </c>
      <c r="G45" s="41" t="s">
        <v>363</v>
      </c>
      <c r="H45" s="41" t="s">
        <v>364</v>
      </c>
      <c r="I45" s="41" t="s">
        <v>365</v>
      </c>
      <c r="J45" s="41" t="s">
        <v>366</v>
      </c>
      <c r="K45" s="44" t="s">
        <v>84</v>
      </c>
      <c r="L45" s="42" t="s">
        <v>85</v>
      </c>
      <c r="M45" s="42" t="s">
        <v>18</v>
      </c>
      <c r="N45" s="45">
        <v>46360.0</v>
      </c>
      <c r="O45" s="42" t="s">
        <v>86</v>
      </c>
      <c r="P45" s="39"/>
      <c r="Q45" s="39"/>
      <c r="R45" s="39"/>
    </row>
    <row r="46" ht="120.0" customHeight="1">
      <c r="A46" s="46" t="s">
        <v>367</v>
      </c>
      <c r="B46" s="47" t="s">
        <v>368</v>
      </c>
      <c r="C46" s="48" t="s">
        <v>369</v>
      </c>
      <c r="D46" s="51" t="s">
        <v>52</v>
      </c>
      <c r="E46" s="48" t="s">
        <v>78</v>
      </c>
      <c r="F46" s="47" t="s">
        <v>115</v>
      </c>
      <c r="G46" s="47" t="s">
        <v>370</v>
      </c>
      <c r="H46" s="47" t="s">
        <v>371</v>
      </c>
      <c r="I46" s="47" t="s">
        <v>372</v>
      </c>
      <c r="J46" s="47" t="s">
        <v>373</v>
      </c>
      <c r="K46" s="44" t="s">
        <v>84</v>
      </c>
      <c r="L46" s="48" t="s">
        <v>85</v>
      </c>
      <c r="M46" s="48" t="s">
        <v>18</v>
      </c>
      <c r="N46" s="50">
        <v>46360.0</v>
      </c>
      <c r="O46" s="48" t="s">
        <v>86</v>
      </c>
      <c r="P46" s="39"/>
      <c r="Q46" s="39"/>
      <c r="R46" s="39"/>
    </row>
    <row r="47" ht="120.0" customHeight="1">
      <c r="A47" s="40" t="s">
        <v>374</v>
      </c>
      <c r="B47" s="41" t="s">
        <v>375</v>
      </c>
      <c r="C47" s="42" t="s">
        <v>361</v>
      </c>
      <c r="D47" s="51" t="s">
        <v>52</v>
      </c>
      <c r="E47" s="42" t="s">
        <v>78</v>
      </c>
      <c r="F47" s="41" t="s">
        <v>115</v>
      </c>
      <c r="G47" s="41" t="s">
        <v>376</v>
      </c>
      <c r="H47" s="41" t="s">
        <v>377</v>
      </c>
      <c r="I47" s="41" t="s">
        <v>378</v>
      </c>
      <c r="J47" s="41" t="s">
        <v>379</v>
      </c>
      <c r="K47" s="44" t="s">
        <v>84</v>
      </c>
      <c r="L47" s="42" t="s">
        <v>85</v>
      </c>
      <c r="M47" s="42" t="s">
        <v>18</v>
      </c>
      <c r="N47" s="45">
        <v>46360.0</v>
      </c>
      <c r="O47" s="42" t="s">
        <v>86</v>
      </c>
      <c r="P47" s="39"/>
      <c r="Q47" s="39"/>
      <c r="R47" s="39"/>
    </row>
    <row r="48" ht="120.0" customHeight="1">
      <c r="A48" s="46" t="s">
        <v>380</v>
      </c>
      <c r="B48" s="47" t="s">
        <v>381</v>
      </c>
      <c r="C48" s="48" t="s">
        <v>361</v>
      </c>
      <c r="D48" s="51" t="s">
        <v>52</v>
      </c>
      <c r="E48" s="48" t="s">
        <v>78</v>
      </c>
      <c r="F48" s="47" t="s">
        <v>115</v>
      </c>
      <c r="G48" s="47" t="s">
        <v>382</v>
      </c>
      <c r="H48" s="47" t="s">
        <v>383</v>
      </c>
      <c r="I48" s="47" t="s">
        <v>384</v>
      </c>
      <c r="J48" s="47" t="s">
        <v>385</v>
      </c>
      <c r="K48" s="44" t="s">
        <v>84</v>
      </c>
      <c r="L48" s="48" t="s">
        <v>85</v>
      </c>
      <c r="M48" s="48" t="s">
        <v>18</v>
      </c>
      <c r="N48" s="50">
        <v>46360.0</v>
      </c>
      <c r="O48" s="48" t="s">
        <v>86</v>
      </c>
      <c r="P48" s="39"/>
      <c r="Q48" s="39"/>
      <c r="R48" s="39"/>
    </row>
    <row r="49" ht="120.0" customHeight="1">
      <c r="A49" s="40" t="s">
        <v>386</v>
      </c>
      <c r="B49" s="41" t="s">
        <v>387</v>
      </c>
      <c r="C49" s="42" t="s">
        <v>361</v>
      </c>
      <c r="D49" s="51" t="s">
        <v>52</v>
      </c>
      <c r="E49" s="42" t="s">
        <v>78</v>
      </c>
      <c r="F49" s="41" t="s">
        <v>115</v>
      </c>
      <c r="G49" s="41" t="s">
        <v>388</v>
      </c>
      <c r="H49" s="41" t="s">
        <v>389</v>
      </c>
      <c r="I49" s="41" t="s">
        <v>384</v>
      </c>
      <c r="J49" s="41" t="s">
        <v>385</v>
      </c>
      <c r="K49" s="44" t="s">
        <v>84</v>
      </c>
      <c r="L49" s="42" t="s">
        <v>85</v>
      </c>
      <c r="M49" s="42" t="s">
        <v>18</v>
      </c>
      <c r="N49" s="45">
        <v>46360.0</v>
      </c>
      <c r="O49" s="42" t="s">
        <v>86</v>
      </c>
      <c r="P49" s="39"/>
      <c r="Q49" s="39"/>
      <c r="R49" s="39"/>
    </row>
    <row r="50" ht="120.0" customHeight="1">
      <c r="A50" s="46" t="s">
        <v>390</v>
      </c>
      <c r="B50" s="47" t="s">
        <v>391</v>
      </c>
      <c r="C50" s="48" t="s">
        <v>392</v>
      </c>
      <c r="D50" s="51" t="s">
        <v>52</v>
      </c>
      <c r="E50" s="48" t="s">
        <v>78</v>
      </c>
      <c r="F50" s="47" t="s">
        <v>393</v>
      </c>
      <c r="G50" s="47" t="s">
        <v>394</v>
      </c>
      <c r="H50" s="47" t="s">
        <v>395</v>
      </c>
      <c r="I50" s="47" t="s">
        <v>396</v>
      </c>
      <c r="J50" s="47" t="s">
        <v>397</v>
      </c>
      <c r="K50" s="44" t="s">
        <v>84</v>
      </c>
      <c r="L50" s="48" t="s">
        <v>85</v>
      </c>
      <c r="M50" s="48" t="s">
        <v>18</v>
      </c>
      <c r="N50" s="50">
        <v>46360.0</v>
      </c>
      <c r="O50" s="48" t="s">
        <v>86</v>
      </c>
      <c r="P50" s="39"/>
      <c r="Q50" s="39"/>
      <c r="R50" s="39"/>
    </row>
    <row r="51" ht="120.0" customHeight="1">
      <c r="A51" s="40" t="s">
        <v>398</v>
      </c>
      <c r="B51" s="41" t="s">
        <v>399</v>
      </c>
      <c r="C51" s="42" t="s">
        <v>392</v>
      </c>
      <c r="D51" s="51" t="s">
        <v>52</v>
      </c>
      <c r="E51" s="42" t="s">
        <v>78</v>
      </c>
      <c r="F51" s="41" t="s">
        <v>400</v>
      </c>
      <c r="G51" s="41" t="s">
        <v>401</v>
      </c>
      <c r="H51" s="41" t="s">
        <v>402</v>
      </c>
      <c r="I51" s="41" t="s">
        <v>403</v>
      </c>
      <c r="J51" s="41" t="s">
        <v>403</v>
      </c>
      <c r="K51" s="44" t="s">
        <v>84</v>
      </c>
      <c r="L51" s="42" t="s">
        <v>85</v>
      </c>
      <c r="M51" s="42" t="s">
        <v>18</v>
      </c>
      <c r="N51" s="45">
        <v>46360.0</v>
      </c>
      <c r="O51" s="42" t="s">
        <v>86</v>
      </c>
      <c r="P51" s="39"/>
      <c r="Q51" s="39"/>
      <c r="R51" s="39"/>
    </row>
    <row r="52" ht="120.0" customHeight="1">
      <c r="A52" s="46" t="s">
        <v>404</v>
      </c>
      <c r="B52" s="47" t="s">
        <v>405</v>
      </c>
      <c r="C52" s="48" t="s">
        <v>392</v>
      </c>
      <c r="D52" s="51" t="s">
        <v>52</v>
      </c>
      <c r="E52" s="48" t="s">
        <v>78</v>
      </c>
      <c r="F52" s="47" t="s">
        <v>406</v>
      </c>
      <c r="G52" s="47" t="s">
        <v>407</v>
      </c>
      <c r="H52" s="47" t="s">
        <v>408</v>
      </c>
      <c r="I52" s="47" t="s">
        <v>409</v>
      </c>
      <c r="J52" s="47" t="s">
        <v>409</v>
      </c>
      <c r="K52" s="44" t="s">
        <v>84</v>
      </c>
      <c r="L52" s="48" t="s">
        <v>85</v>
      </c>
      <c r="M52" s="48" t="s">
        <v>18</v>
      </c>
      <c r="N52" s="50">
        <v>46360.0</v>
      </c>
      <c r="O52" s="48" t="s">
        <v>86</v>
      </c>
      <c r="P52" s="39"/>
      <c r="Q52" s="39"/>
      <c r="R52" s="39"/>
    </row>
    <row r="53" ht="120.0" customHeight="1">
      <c r="A53" s="40" t="s">
        <v>410</v>
      </c>
      <c r="B53" s="41" t="s">
        <v>411</v>
      </c>
      <c r="C53" s="42" t="s">
        <v>392</v>
      </c>
      <c r="D53" s="51" t="s">
        <v>52</v>
      </c>
      <c r="E53" s="42" t="s">
        <v>78</v>
      </c>
      <c r="F53" s="41" t="s">
        <v>412</v>
      </c>
      <c r="G53" s="41" t="s">
        <v>413</v>
      </c>
      <c r="H53" s="41" t="s">
        <v>414</v>
      </c>
      <c r="I53" s="41" t="s">
        <v>415</v>
      </c>
      <c r="J53" s="41" t="s">
        <v>415</v>
      </c>
      <c r="K53" s="44" t="s">
        <v>84</v>
      </c>
      <c r="L53" s="42" t="s">
        <v>85</v>
      </c>
      <c r="M53" s="42" t="s">
        <v>18</v>
      </c>
      <c r="N53" s="45">
        <v>46360.0</v>
      </c>
      <c r="O53" s="42" t="s">
        <v>86</v>
      </c>
      <c r="P53" s="39"/>
      <c r="Q53" s="39"/>
      <c r="R53" s="39"/>
    </row>
    <row r="54" ht="120.0" customHeight="1">
      <c r="A54" s="46" t="s">
        <v>416</v>
      </c>
      <c r="B54" s="47" t="s">
        <v>417</v>
      </c>
      <c r="C54" s="48" t="s">
        <v>418</v>
      </c>
      <c r="D54" s="51" t="s">
        <v>52</v>
      </c>
      <c r="E54" s="48" t="s">
        <v>78</v>
      </c>
      <c r="F54" s="47" t="s">
        <v>419</v>
      </c>
      <c r="G54" s="47" t="s">
        <v>420</v>
      </c>
      <c r="H54" s="47" t="s">
        <v>421</v>
      </c>
      <c r="I54" s="47" t="s">
        <v>422</v>
      </c>
      <c r="J54" s="47" t="s">
        <v>423</v>
      </c>
      <c r="K54" s="49" t="s">
        <v>96</v>
      </c>
      <c r="L54" s="48" t="s">
        <v>155</v>
      </c>
      <c r="M54" s="48" t="s">
        <v>18</v>
      </c>
      <c r="N54" s="50">
        <v>46360.0</v>
      </c>
      <c r="O54" s="48" t="s">
        <v>424</v>
      </c>
      <c r="P54" s="39"/>
      <c r="Q54" s="39"/>
      <c r="R54" s="39"/>
    </row>
    <row r="55" ht="120.0" customHeight="1">
      <c r="A55" s="40" t="s">
        <v>425</v>
      </c>
      <c r="B55" s="41" t="s">
        <v>426</v>
      </c>
      <c r="C55" s="42" t="s">
        <v>418</v>
      </c>
      <c r="D55" s="51" t="s">
        <v>52</v>
      </c>
      <c r="E55" s="42" t="s">
        <v>78</v>
      </c>
      <c r="F55" s="41" t="s">
        <v>419</v>
      </c>
      <c r="G55" s="41" t="s">
        <v>427</v>
      </c>
      <c r="H55" s="41" t="s">
        <v>428</v>
      </c>
      <c r="I55" s="41" t="s">
        <v>422</v>
      </c>
      <c r="J55" s="41" t="s">
        <v>429</v>
      </c>
      <c r="K55" s="44" t="s">
        <v>84</v>
      </c>
      <c r="L55" s="42" t="s">
        <v>155</v>
      </c>
      <c r="M55" s="42" t="s">
        <v>18</v>
      </c>
      <c r="N55" s="45">
        <v>46360.0</v>
      </c>
      <c r="O55" s="42" t="s">
        <v>86</v>
      </c>
      <c r="P55" s="39"/>
      <c r="Q55" s="39"/>
      <c r="R55" s="39"/>
    </row>
    <row r="56" ht="120.0" customHeight="1">
      <c r="A56" s="46" t="s">
        <v>430</v>
      </c>
      <c r="B56" s="47" t="s">
        <v>431</v>
      </c>
      <c r="C56" s="48" t="s">
        <v>106</v>
      </c>
      <c r="D56" s="51" t="s">
        <v>52</v>
      </c>
      <c r="E56" s="48" t="s">
        <v>78</v>
      </c>
      <c r="F56" s="47" t="s">
        <v>432</v>
      </c>
      <c r="G56" s="47" t="s">
        <v>433</v>
      </c>
      <c r="H56" s="47" t="s">
        <v>434</v>
      </c>
      <c r="I56" s="47" t="s">
        <v>435</v>
      </c>
      <c r="J56" s="47" t="s">
        <v>436</v>
      </c>
      <c r="K56" s="44" t="s">
        <v>84</v>
      </c>
      <c r="L56" s="48" t="s">
        <v>85</v>
      </c>
      <c r="M56" s="48" t="s">
        <v>18</v>
      </c>
      <c r="N56" s="50">
        <v>46360.0</v>
      </c>
      <c r="O56" s="48" t="s">
        <v>86</v>
      </c>
      <c r="P56" s="39"/>
      <c r="Q56" s="39"/>
      <c r="R56" s="39"/>
    </row>
    <row r="57" ht="120.0" customHeight="1">
      <c r="A57" s="40" t="s">
        <v>437</v>
      </c>
      <c r="B57" s="41" t="s">
        <v>438</v>
      </c>
      <c r="C57" s="42" t="s">
        <v>439</v>
      </c>
      <c r="D57" s="51" t="s">
        <v>52</v>
      </c>
      <c r="E57" s="42" t="s">
        <v>78</v>
      </c>
      <c r="F57" s="41" t="s">
        <v>440</v>
      </c>
      <c r="G57" s="41" t="s">
        <v>441</v>
      </c>
      <c r="H57" s="41" t="s">
        <v>109</v>
      </c>
      <c r="I57" s="41" t="s">
        <v>442</v>
      </c>
      <c r="J57" s="41" t="s">
        <v>442</v>
      </c>
      <c r="K57" s="44" t="s">
        <v>84</v>
      </c>
      <c r="L57" s="42" t="s">
        <v>85</v>
      </c>
      <c r="M57" s="42" t="s">
        <v>18</v>
      </c>
      <c r="N57" s="45">
        <v>46360.0</v>
      </c>
      <c r="O57" s="42" t="s">
        <v>86</v>
      </c>
      <c r="P57" s="39"/>
      <c r="Q57" s="39"/>
      <c r="R57" s="39"/>
    </row>
    <row r="58" ht="120.0" customHeight="1">
      <c r="A58" s="46" t="s">
        <v>443</v>
      </c>
      <c r="B58" s="47" t="s">
        <v>444</v>
      </c>
      <c r="C58" s="48" t="s">
        <v>114</v>
      </c>
      <c r="D58" s="51" t="s">
        <v>52</v>
      </c>
      <c r="E58" s="48" t="s">
        <v>90</v>
      </c>
      <c r="F58" s="47" t="s">
        <v>115</v>
      </c>
      <c r="G58" s="47" t="s">
        <v>445</v>
      </c>
      <c r="H58" s="47" t="s">
        <v>446</v>
      </c>
      <c r="I58" s="47" t="s">
        <v>447</v>
      </c>
      <c r="J58" s="47" t="s">
        <v>447</v>
      </c>
      <c r="K58" s="44" t="s">
        <v>84</v>
      </c>
      <c r="L58" s="48" t="s">
        <v>85</v>
      </c>
      <c r="M58" s="48" t="s">
        <v>18</v>
      </c>
      <c r="N58" s="50">
        <v>46360.0</v>
      </c>
      <c r="O58" s="48" t="s">
        <v>86</v>
      </c>
      <c r="P58" s="39"/>
      <c r="Q58" s="39"/>
      <c r="R58" s="39"/>
    </row>
    <row r="59" ht="120.0" customHeight="1">
      <c r="A59" s="40" t="s">
        <v>448</v>
      </c>
      <c r="B59" s="41" t="s">
        <v>449</v>
      </c>
      <c r="C59" s="42" t="s">
        <v>450</v>
      </c>
      <c r="D59" s="51" t="s">
        <v>52</v>
      </c>
      <c r="E59" s="42" t="s">
        <v>78</v>
      </c>
      <c r="F59" s="41" t="s">
        <v>451</v>
      </c>
      <c r="G59" s="41" t="s">
        <v>452</v>
      </c>
      <c r="H59" s="41" t="s">
        <v>453</v>
      </c>
      <c r="I59" s="41" t="s">
        <v>454</v>
      </c>
      <c r="J59" s="41" t="s">
        <v>455</v>
      </c>
      <c r="K59" s="49" t="s">
        <v>96</v>
      </c>
      <c r="L59" s="42" t="s">
        <v>85</v>
      </c>
      <c r="M59" s="42" t="s">
        <v>18</v>
      </c>
      <c r="N59" s="45">
        <v>46360.0</v>
      </c>
      <c r="O59" s="42" t="s">
        <v>456</v>
      </c>
      <c r="P59" s="39"/>
      <c r="Q59" s="39"/>
      <c r="R59" s="39"/>
    </row>
    <row r="60" ht="120.0" customHeight="1">
      <c r="A60" s="46" t="s">
        <v>457</v>
      </c>
      <c r="B60" s="47" t="s">
        <v>458</v>
      </c>
      <c r="C60" s="48" t="s">
        <v>114</v>
      </c>
      <c r="D60" s="51" t="s">
        <v>52</v>
      </c>
      <c r="E60" s="48" t="s">
        <v>78</v>
      </c>
      <c r="F60" s="47" t="s">
        <v>459</v>
      </c>
      <c r="G60" s="47" t="s">
        <v>460</v>
      </c>
      <c r="H60" s="47" t="s">
        <v>461</v>
      </c>
      <c r="I60" s="47" t="s">
        <v>462</v>
      </c>
      <c r="J60" s="47" t="s">
        <v>463</v>
      </c>
      <c r="K60" s="52" t="s">
        <v>464</v>
      </c>
      <c r="L60" s="48" t="s">
        <v>85</v>
      </c>
      <c r="M60" s="48" t="s">
        <v>18</v>
      </c>
      <c r="N60" s="50">
        <v>46360.0</v>
      </c>
      <c r="O60" s="48" t="s">
        <v>465</v>
      </c>
      <c r="P60" s="39"/>
      <c r="Q60" s="39"/>
      <c r="R60" s="39"/>
    </row>
    <row r="61" ht="120.0" customHeight="1">
      <c r="A61" s="40" t="s">
        <v>466</v>
      </c>
      <c r="B61" s="41" t="s">
        <v>467</v>
      </c>
      <c r="C61" s="42" t="s">
        <v>114</v>
      </c>
      <c r="D61" s="51" t="s">
        <v>52</v>
      </c>
      <c r="E61" s="42" t="s">
        <v>78</v>
      </c>
      <c r="F61" s="41" t="s">
        <v>468</v>
      </c>
      <c r="G61" s="41" t="s">
        <v>469</v>
      </c>
      <c r="H61" s="41" t="s">
        <v>470</v>
      </c>
      <c r="I61" s="41" t="s">
        <v>471</v>
      </c>
      <c r="J61" s="41" t="s">
        <v>463</v>
      </c>
      <c r="K61" s="52" t="s">
        <v>464</v>
      </c>
      <c r="L61" s="42" t="s">
        <v>85</v>
      </c>
      <c r="M61" s="42" t="s">
        <v>18</v>
      </c>
      <c r="N61" s="45">
        <v>46360.0</v>
      </c>
      <c r="O61" s="42" t="s">
        <v>465</v>
      </c>
      <c r="P61" s="39"/>
      <c r="Q61" s="39"/>
      <c r="R61" s="39"/>
    </row>
    <row r="62" ht="120.0" customHeight="1">
      <c r="A62" s="46" t="s">
        <v>472</v>
      </c>
      <c r="B62" s="47" t="s">
        <v>473</v>
      </c>
      <c r="C62" s="48" t="s">
        <v>474</v>
      </c>
      <c r="D62" s="51" t="s">
        <v>52</v>
      </c>
      <c r="E62" s="48" t="s">
        <v>78</v>
      </c>
      <c r="F62" s="47" t="s">
        <v>475</v>
      </c>
      <c r="G62" s="47" t="s">
        <v>476</v>
      </c>
      <c r="H62" s="47" t="s">
        <v>477</v>
      </c>
      <c r="I62" s="47" t="s">
        <v>478</v>
      </c>
      <c r="J62" s="47" t="s">
        <v>479</v>
      </c>
      <c r="K62" s="49" t="s">
        <v>96</v>
      </c>
      <c r="L62" s="48" t="s">
        <v>85</v>
      </c>
      <c r="M62" s="48" t="s">
        <v>18</v>
      </c>
      <c r="N62" s="50">
        <v>46360.0</v>
      </c>
      <c r="O62" s="48" t="s">
        <v>480</v>
      </c>
      <c r="P62" s="39"/>
      <c r="Q62" s="39"/>
      <c r="R62" s="39"/>
    </row>
    <row r="63" ht="120.0" customHeight="1">
      <c r="A63" s="40" t="s">
        <v>481</v>
      </c>
      <c r="B63" s="41" t="s">
        <v>482</v>
      </c>
      <c r="C63" s="42" t="s">
        <v>474</v>
      </c>
      <c r="D63" s="51" t="s">
        <v>52</v>
      </c>
      <c r="E63" s="42" t="s">
        <v>78</v>
      </c>
      <c r="F63" s="41" t="s">
        <v>475</v>
      </c>
      <c r="G63" s="41" t="s">
        <v>483</v>
      </c>
      <c r="H63" s="41" t="s">
        <v>484</v>
      </c>
      <c r="I63" s="41" t="s">
        <v>485</v>
      </c>
      <c r="J63" s="41" t="s">
        <v>486</v>
      </c>
      <c r="K63" s="44" t="s">
        <v>84</v>
      </c>
      <c r="L63" s="42" t="s">
        <v>85</v>
      </c>
      <c r="M63" s="42" t="s">
        <v>18</v>
      </c>
      <c r="N63" s="45">
        <v>46360.0</v>
      </c>
      <c r="O63" s="42" t="s">
        <v>86</v>
      </c>
      <c r="P63" s="39"/>
      <c r="Q63" s="39"/>
      <c r="R63" s="39"/>
    </row>
    <row r="64" ht="120.0" customHeight="1">
      <c r="A64" s="46" t="s">
        <v>487</v>
      </c>
      <c r="B64" s="47" t="s">
        <v>488</v>
      </c>
      <c r="C64" s="48" t="s">
        <v>179</v>
      </c>
      <c r="D64" s="53" t="s">
        <v>55</v>
      </c>
      <c r="E64" s="48" t="s">
        <v>78</v>
      </c>
      <c r="F64" s="47" t="s">
        <v>180</v>
      </c>
      <c r="G64" s="47" t="s">
        <v>489</v>
      </c>
      <c r="H64" s="47" t="s">
        <v>490</v>
      </c>
      <c r="I64" s="47" t="s">
        <v>183</v>
      </c>
      <c r="J64" s="47" t="s">
        <v>491</v>
      </c>
      <c r="K64" s="44" t="s">
        <v>84</v>
      </c>
      <c r="L64" s="48" t="s">
        <v>155</v>
      </c>
      <c r="M64" s="48" t="s">
        <v>18</v>
      </c>
      <c r="N64" s="50">
        <v>46360.0</v>
      </c>
      <c r="O64" s="48" t="s">
        <v>86</v>
      </c>
      <c r="P64" s="39"/>
      <c r="Q64" s="39"/>
      <c r="R64" s="39"/>
    </row>
    <row r="65" ht="120.0" customHeight="1">
      <c r="A65" s="40" t="s">
        <v>492</v>
      </c>
      <c r="B65" s="41" t="s">
        <v>493</v>
      </c>
      <c r="C65" s="42" t="s">
        <v>187</v>
      </c>
      <c r="D65" s="53" t="s">
        <v>55</v>
      </c>
      <c r="E65" s="42" t="s">
        <v>78</v>
      </c>
      <c r="F65" s="41" t="s">
        <v>180</v>
      </c>
      <c r="G65" s="41" t="s">
        <v>494</v>
      </c>
      <c r="H65" s="41" t="s">
        <v>495</v>
      </c>
      <c r="I65" s="41" t="s">
        <v>190</v>
      </c>
      <c r="J65" s="41" t="s">
        <v>496</v>
      </c>
      <c r="K65" s="44" t="s">
        <v>84</v>
      </c>
      <c r="L65" s="42" t="s">
        <v>155</v>
      </c>
      <c r="M65" s="42" t="s">
        <v>18</v>
      </c>
      <c r="N65" s="45">
        <v>46360.0</v>
      </c>
      <c r="O65" s="42" t="s">
        <v>86</v>
      </c>
      <c r="P65" s="39"/>
      <c r="Q65" s="39"/>
      <c r="R65" s="39"/>
    </row>
    <row r="66" ht="120.0" customHeight="1">
      <c r="A66" s="46" t="s">
        <v>497</v>
      </c>
      <c r="B66" s="47" t="s">
        <v>498</v>
      </c>
      <c r="C66" s="48" t="s">
        <v>134</v>
      </c>
      <c r="D66" s="53" t="s">
        <v>55</v>
      </c>
      <c r="E66" s="48" t="s">
        <v>78</v>
      </c>
      <c r="F66" s="47" t="s">
        <v>180</v>
      </c>
      <c r="G66" s="47" t="s">
        <v>499</v>
      </c>
      <c r="H66" s="47" t="s">
        <v>500</v>
      </c>
      <c r="I66" s="47" t="s">
        <v>501</v>
      </c>
      <c r="J66" s="47" t="s">
        <v>502</v>
      </c>
      <c r="K66" s="49" t="s">
        <v>96</v>
      </c>
      <c r="L66" s="48" t="s">
        <v>155</v>
      </c>
      <c r="M66" s="48" t="s">
        <v>18</v>
      </c>
      <c r="N66" s="50">
        <v>46360.0</v>
      </c>
      <c r="O66" s="48" t="s">
        <v>503</v>
      </c>
      <c r="P66" s="39"/>
      <c r="Q66" s="39"/>
      <c r="R66" s="39"/>
    </row>
    <row r="67" ht="120.0" customHeight="1">
      <c r="A67" s="40" t="s">
        <v>504</v>
      </c>
      <c r="B67" s="41" t="s">
        <v>505</v>
      </c>
      <c r="C67" s="42" t="s">
        <v>134</v>
      </c>
      <c r="D67" s="53" t="s">
        <v>55</v>
      </c>
      <c r="E67" s="42" t="s">
        <v>78</v>
      </c>
      <c r="F67" s="41" t="s">
        <v>180</v>
      </c>
      <c r="G67" s="41" t="s">
        <v>506</v>
      </c>
      <c r="H67" s="41" t="s">
        <v>507</v>
      </c>
      <c r="I67" s="41" t="s">
        <v>196</v>
      </c>
      <c r="J67" s="41" t="s">
        <v>508</v>
      </c>
      <c r="K67" s="44" t="s">
        <v>84</v>
      </c>
      <c r="L67" s="42" t="s">
        <v>155</v>
      </c>
      <c r="M67" s="42" t="s">
        <v>18</v>
      </c>
      <c r="N67" s="45">
        <v>46360.0</v>
      </c>
      <c r="O67" s="42" t="s">
        <v>86</v>
      </c>
      <c r="P67" s="39"/>
      <c r="Q67" s="39"/>
      <c r="R67" s="39"/>
    </row>
    <row r="68" ht="120.0" customHeight="1">
      <c r="A68" s="46" t="s">
        <v>509</v>
      </c>
      <c r="B68" s="47" t="s">
        <v>510</v>
      </c>
      <c r="C68" s="48" t="s">
        <v>149</v>
      </c>
      <c r="D68" s="53" t="s">
        <v>55</v>
      </c>
      <c r="E68" s="48" t="s">
        <v>78</v>
      </c>
      <c r="F68" s="47" t="s">
        <v>180</v>
      </c>
      <c r="G68" s="47" t="s">
        <v>511</v>
      </c>
      <c r="H68" s="47" t="s">
        <v>512</v>
      </c>
      <c r="I68" s="47" t="s">
        <v>513</v>
      </c>
      <c r="J68" s="47" t="s">
        <v>514</v>
      </c>
      <c r="K68" s="44" t="s">
        <v>84</v>
      </c>
      <c r="L68" s="48" t="s">
        <v>155</v>
      </c>
      <c r="M68" s="48" t="s">
        <v>18</v>
      </c>
      <c r="N68" s="50">
        <v>46360.0</v>
      </c>
      <c r="O68" s="48" t="s">
        <v>86</v>
      </c>
      <c r="P68" s="39"/>
      <c r="Q68" s="39"/>
      <c r="R68" s="39"/>
    </row>
    <row r="69" ht="120.0" customHeight="1">
      <c r="A69" s="40" t="s">
        <v>515</v>
      </c>
      <c r="B69" s="41" t="s">
        <v>516</v>
      </c>
      <c r="C69" s="42" t="s">
        <v>149</v>
      </c>
      <c r="D69" s="53" t="s">
        <v>55</v>
      </c>
      <c r="E69" s="42" t="s">
        <v>78</v>
      </c>
      <c r="F69" s="41" t="s">
        <v>180</v>
      </c>
      <c r="G69" s="41" t="s">
        <v>517</v>
      </c>
      <c r="H69" s="41" t="s">
        <v>518</v>
      </c>
      <c r="I69" s="41" t="s">
        <v>513</v>
      </c>
      <c r="J69" s="41" t="s">
        <v>519</v>
      </c>
      <c r="K69" s="44" t="s">
        <v>84</v>
      </c>
      <c r="L69" s="42" t="s">
        <v>155</v>
      </c>
      <c r="M69" s="42" t="s">
        <v>18</v>
      </c>
      <c r="N69" s="45">
        <v>46360.0</v>
      </c>
      <c r="O69" s="42" t="s">
        <v>86</v>
      </c>
      <c r="P69" s="39"/>
      <c r="Q69" s="39"/>
      <c r="R69" s="39"/>
    </row>
    <row r="70" ht="120.0" customHeight="1">
      <c r="A70" s="46" t="s">
        <v>520</v>
      </c>
      <c r="B70" s="47" t="s">
        <v>521</v>
      </c>
      <c r="C70" s="48" t="s">
        <v>159</v>
      </c>
      <c r="D70" s="53" t="s">
        <v>55</v>
      </c>
      <c r="E70" s="48" t="s">
        <v>78</v>
      </c>
      <c r="F70" s="47" t="s">
        <v>180</v>
      </c>
      <c r="G70" s="47" t="s">
        <v>522</v>
      </c>
      <c r="H70" s="47" t="s">
        <v>523</v>
      </c>
      <c r="I70" s="47" t="s">
        <v>208</v>
      </c>
      <c r="J70" s="47" t="s">
        <v>524</v>
      </c>
      <c r="K70" s="44" t="s">
        <v>84</v>
      </c>
      <c r="L70" s="48" t="s">
        <v>155</v>
      </c>
      <c r="M70" s="48" t="s">
        <v>18</v>
      </c>
      <c r="N70" s="50">
        <v>46360.0</v>
      </c>
      <c r="O70" s="48" t="s">
        <v>86</v>
      </c>
      <c r="P70" s="39"/>
      <c r="Q70" s="39"/>
      <c r="R70" s="39"/>
    </row>
    <row r="71" ht="120.0" customHeight="1">
      <c r="A71" s="40" t="s">
        <v>525</v>
      </c>
      <c r="B71" s="41" t="s">
        <v>526</v>
      </c>
      <c r="C71" s="42" t="s">
        <v>159</v>
      </c>
      <c r="D71" s="53" t="s">
        <v>55</v>
      </c>
      <c r="E71" s="42" t="s">
        <v>78</v>
      </c>
      <c r="F71" s="41" t="s">
        <v>180</v>
      </c>
      <c r="G71" s="41" t="s">
        <v>527</v>
      </c>
      <c r="H71" s="41" t="s">
        <v>528</v>
      </c>
      <c r="I71" s="41" t="s">
        <v>208</v>
      </c>
      <c r="J71" s="41" t="s">
        <v>529</v>
      </c>
      <c r="K71" s="49" t="s">
        <v>96</v>
      </c>
      <c r="L71" s="42" t="s">
        <v>155</v>
      </c>
      <c r="M71" s="42" t="s">
        <v>18</v>
      </c>
      <c r="N71" s="45">
        <v>46360.0</v>
      </c>
      <c r="O71" s="42" t="s">
        <v>530</v>
      </c>
      <c r="P71" s="39"/>
      <c r="Q71" s="39"/>
      <c r="R71" s="39"/>
    </row>
    <row r="72" ht="120.0" customHeight="1">
      <c r="A72" s="46" t="s">
        <v>531</v>
      </c>
      <c r="B72" s="47" t="s">
        <v>532</v>
      </c>
      <c r="C72" s="48" t="s">
        <v>179</v>
      </c>
      <c r="D72" s="53" t="s">
        <v>55</v>
      </c>
      <c r="E72" s="48" t="s">
        <v>533</v>
      </c>
      <c r="F72" s="47" t="s">
        <v>180</v>
      </c>
      <c r="G72" s="47" t="s">
        <v>534</v>
      </c>
      <c r="H72" s="47" t="s">
        <v>535</v>
      </c>
      <c r="I72" s="47" t="s">
        <v>536</v>
      </c>
      <c r="J72" s="47" t="s">
        <v>537</v>
      </c>
      <c r="K72" s="44" t="s">
        <v>84</v>
      </c>
      <c r="L72" s="48" t="s">
        <v>538</v>
      </c>
      <c r="M72" s="48" t="s">
        <v>18</v>
      </c>
      <c r="N72" s="50">
        <v>46360.0</v>
      </c>
      <c r="O72" s="48" t="s">
        <v>86</v>
      </c>
      <c r="P72" s="39"/>
      <c r="Q72" s="39"/>
      <c r="R72" s="39"/>
    </row>
    <row r="73" ht="120.0" customHeight="1">
      <c r="A73" s="40" t="s">
        <v>539</v>
      </c>
      <c r="B73" s="41" t="s">
        <v>540</v>
      </c>
      <c r="C73" s="42" t="s">
        <v>179</v>
      </c>
      <c r="D73" s="53" t="s">
        <v>55</v>
      </c>
      <c r="E73" s="42" t="s">
        <v>533</v>
      </c>
      <c r="F73" s="41" t="s">
        <v>180</v>
      </c>
      <c r="G73" s="41" t="s">
        <v>541</v>
      </c>
      <c r="H73" s="41" t="s">
        <v>542</v>
      </c>
      <c r="I73" s="41" t="s">
        <v>543</v>
      </c>
      <c r="J73" s="41" t="s">
        <v>544</v>
      </c>
      <c r="K73" s="44" t="s">
        <v>84</v>
      </c>
      <c r="L73" s="42" t="s">
        <v>538</v>
      </c>
      <c r="M73" s="42" t="s">
        <v>18</v>
      </c>
      <c r="N73" s="45">
        <v>46360.0</v>
      </c>
      <c r="O73" s="42" t="s">
        <v>86</v>
      </c>
      <c r="P73" s="39"/>
      <c r="Q73" s="39"/>
      <c r="R73" s="39"/>
    </row>
    <row r="74" ht="120.0" customHeight="1">
      <c r="A74" s="46" t="s">
        <v>545</v>
      </c>
      <c r="B74" s="47" t="s">
        <v>546</v>
      </c>
      <c r="C74" s="48" t="s">
        <v>179</v>
      </c>
      <c r="D74" s="53" t="s">
        <v>55</v>
      </c>
      <c r="E74" s="48" t="s">
        <v>533</v>
      </c>
      <c r="F74" s="47" t="s">
        <v>180</v>
      </c>
      <c r="G74" s="47" t="s">
        <v>547</v>
      </c>
      <c r="H74" s="47" t="s">
        <v>548</v>
      </c>
      <c r="I74" s="47" t="s">
        <v>549</v>
      </c>
      <c r="J74" s="47" t="s">
        <v>550</v>
      </c>
      <c r="K74" s="44" t="s">
        <v>84</v>
      </c>
      <c r="L74" s="48" t="s">
        <v>538</v>
      </c>
      <c r="M74" s="48" t="s">
        <v>18</v>
      </c>
      <c r="N74" s="50">
        <v>46360.0</v>
      </c>
      <c r="O74" s="48" t="s">
        <v>86</v>
      </c>
      <c r="P74" s="39"/>
      <c r="Q74" s="39"/>
      <c r="R74" s="39"/>
    </row>
    <row r="75" ht="120.0" customHeight="1">
      <c r="A75" s="40" t="s">
        <v>551</v>
      </c>
      <c r="B75" s="41" t="s">
        <v>552</v>
      </c>
      <c r="C75" s="42" t="s">
        <v>179</v>
      </c>
      <c r="D75" s="53" t="s">
        <v>55</v>
      </c>
      <c r="E75" s="42" t="s">
        <v>533</v>
      </c>
      <c r="F75" s="41" t="s">
        <v>180</v>
      </c>
      <c r="G75" s="41" t="s">
        <v>553</v>
      </c>
      <c r="H75" s="41" t="s">
        <v>554</v>
      </c>
      <c r="I75" s="41" t="s">
        <v>555</v>
      </c>
      <c r="J75" s="41" t="s">
        <v>556</v>
      </c>
      <c r="K75" s="44" t="s">
        <v>84</v>
      </c>
      <c r="L75" s="42" t="s">
        <v>538</v>
      </c>
      <c r="M75" s="42" t="s">
        <v>18</v>
      </c>
      <c r="N75" s="45">
        <v>46360.0</v>
      </c>
      <c r="O75" s="42" t="s">
        <v>86</v>
      </c>
      <c r="P75" s="39"/>
      <c r="Q75" s="39"/>
      <c r="R75" s="39"/>
    </row>
    <row r="76" ht="120.0" customHeight="1">
      <c r="A76" s="46" t="s">
        <v>557</v>
      </c>
      <c r="B76" s="47" t="s">
        <v>558</v>
      </c>
      <c r="C76" s="48" t="s">
        <v>187</v>
      </c>
      <c r="D76" s="53" t="s">
        <v>55</v>
      </c>
      <c r="E76" s="48" t="s">
        <v>533</v>
      </c>
      <c r="F76" s="47" t="s">
        <v>180</v>
      </c>
      <c r="G76" s="47" t="s">
        <v>559</v>
      </c>
      <c r="H76" s="47" t="s">
        <v>560</v>
      </c>
      <c r="I76" s="47" t="s">
        <v>561</v>
      </c>
      <c r="J76" s="47" t="s">
        <v>562</v>
      </c>
      <c r="K76" s="44" t="s">
        <v>84</v>
      </c>
      <c r="L76" s="48" t="s">
        <v>538</v>
      </c>
      <c r="M76" s="48" t="s">
        <v>18</v>
      </c>
      <c r="N76" s="50">
        <v>46360.0</v>
      </c>
      <c r="O76" s="48" t="s">
        <v>86</v>
      </c>
      <c r="P76" s="39"/>
      <c r="Q76" s="39"/>
      <c r="R76" s="39"/>
    </row>
    <row r="77" ht="120.0" customHeight="1">
      <c r="A77" s="40" t="s">
        <v>563</v>
      </c>
      <c r="B77" s="41" t="s">
        <v>564</v>
      </c>
      <c r="C77" s="42" t="s">
        <v>187</v>
      </c>
      <c r="D77" s="53" t="s">
        <v>55</v>
      </c>
      <c r="E77" s="42" t="s">
        <v>533</v>
      </c>
      <c r="F77" s="41" t="s">
        <v>180</v>
      </c>
      <c r="G77" s="41" t="s">
        <v>565</v>
      </c>
      <c r="H77" s="41" t="s">
        <v>566</v>
      </c>
      <c r="I77" s="41" t="s">
        <v>567</v>
      </c>
      <c r="J77" s="41" t="s">
        <v>568</v>
      </c>
      <c r="K77" s="44" t="s">
        <v>84</v>
      </c>
      <c r="L77" s="42" t="s">
        <v>538</v>
      </c>
      <c r="M77" s="42" t="s">
        <v>18</v>
      </c>
      <c r="N77" s="45">
        <v>46360.0</v>
      </c>
      <c r="O77" s="42" t="s">
        <v>86</v>
      </c>
      <c r="P77" s="39"/>
      <c r="Q77" s="39"/>
      <c r="R77" s="39"/>
    </row>
    <row r="78" ht="120.0" customHeight="1">
      <c r="A78" s="46" t="s">
        <v>569</v>
      </c>
      <c r="B78" s="47" t="s">
        <v>570</v>
      </c>
      <c r="C78" s="48" t="s">
        <v>187</v>
      </c>
      <c r="D78" s="53" t="s">
        <v>55</v>
      </c>
      <c r="E78" s="48" t="s">
        <v>533</v>
      </c>
      <c r="F78" s="47" t="s">
        <v>180</v>
      </c>
      <c r="G78" s="47" t="s">
        <v>571</v>
      </c>
      <c r="H78" s="47" t="s">
        <v>572</v>
      </c>
      <c r="I78" s="47" t="s">
        <v>573</v>
      </c>
      <c r="J78" s="47" t="s">
        <v>574</v>
      </c>
      <c r="K78" s="44" t="s">
        <v>84</v>
      </c>
      <c r="L78" s="48" t="s">
        <v>538</v>
      </c>
      <c r="M78" s="48" t="s">
        <v>18</v>
      </c>
      <c r="N78" s="50">
        <v>46360.0</v>
      </c>
      <c r="O78" s="48" t="s">
        <v>86</v>
      </c>
      <c r="P78" s="39"/>
      <c r="Q78" s="39"/>
      <c r="R78" s="39"/>
    </row>
    <row r="79" ht="120.0" customHeight="1">
      <c r="A79" s="40" t="s">
        <v>575</v>
      </c>
      <c r="B79" s="41" t="s">
        <v>576</v>
      </c>
      <c r="C79" s="42" t="s">
        <v>187</v>
      </c>
      <c r="D79" s="53" t="s">
        <v>55</v>
      </c>
      <c r="E79" s="42" t="s">
        <v>533</v>
      </c>
      <c r="F79" s="41" t="s">
        <v>180</v>
      </c>
      <c r="G79" s="41" t="s">
        <v>577</v>
      </c>
      <c r="H79" s="41" t="s">
        <v>578</v>
      </c>
      <c r="I79" s="41" t="s">
        <v>579</v>
      </c>
      <c r="J79" s="41" t="s">
        <v>580</v>
      </c>
      <c r="K79" s="44" t="s">
        <v>84</v>
      </c>
      <c r="L79" s="42" t="s">
        <v>538</v>
      </c>
      <c r="M79" s="42" t="s">
        <v>18</v>
      </c>
      <c r="N79" s="45">
        <v>46360.0</v>
      </c>
      <c r="O79" s="42" t="s">
        <v>86</v>
      </c>
      <c r="P79" s="39"/>
      <c r="Q79" s="39"/>
      <c r="R79" s="39"/>
    </row>
    <row r="80" ht="120.0" customHeight="1">
      <c r="A80" s="46" t="s">
        <v>581</v>
      </c>
      <c r="B80" s="47" t="s">
        <v>582</v>
      </c>
      <c r="C80" s="48" t="s">
        <v>134</v>
      </c>
      <c r="D80" s="53" t="s">
        <v>55</v>
      </c>
      <c r="E80" s="48" t="s">
        <v>533</v>
      </c>
      <c r="F80" s="47" t="s">
        <v>180</v>
      </c>
      <c r="G80" s="47" t="s">
        <v>583</v>
      </c>
      <c r="H80" s="47" t="s">
        <v>584</v>
      </c>
      <c r="I80" s="47" t="s">
        <v>585</v>
      </c>
      <c r="J80" s="47" t="s">
        <v>586</v>
      </c>
      <c r="K80" s="44" t="s">
        <v>84</v>
      </c>
      <c r="L80" s="48" t="s">
        <v>538</v>
      </c>
      <c r="M80" s="48" t="s">
        <v>18</v>
      </c>
      <c r="N80" s="50">
        <v>46360.0</v>
      </c>
      <c r="O80" s="48" t="s">
        <v>86</v>
      </c>
      <c r="P80" s="39"/>
      <c r="Q80" s="39"/>
      <c r="R80" s="39"/>
    </row>
    <row r="81" ht="120.0" customHeight="1">
      <c r="A81" s="40" t="s">
        <v>587</v>
      </c>
      <c r="B81" s="41" t="s">
        <v>588</v>
      </c>
      <c r="C81" s="42" t="s">
        <v>134</v>
      </c>
      <c r="D81" s="53" t="s">
        <v>55</v>
      </c>
      <c r="E81" s="42" t="s">
        <v>533</v>
      </c>
      <c r="F81" s="41" t="s">
        <v>180</v>
      </c>
      <c r="G81" s="41" t="s">
        <v>589</v>
      </c>
      <c r="H81" s="41" t="s">
        <v>590</v>
      </c>
      <c r="I81" s="41" t="s">
        <v>591</v>
      </c>
      <c r="J81" s="41" t="s">
        <v>592</v>
      </c>
      <c r="K81" s="44" t="s">
        <v>84</v>
      </c>
      <c r="L81" s="42" t="s">
        <v>538</v>
      </c>
      <c r="M81" s="42" t="s">
        <v>18</v>
      </c>
      <c r="N81" s="45">
        <v>46360.0</v>
      </c>
      <c r="O81" s="42" t="s">
        <v>86</v>
      </c>
      <c r="P81" s="39"/>
      <c r="Q81" s="39"/>
      <c r="R81" s="39"/>
    </row>
    <row r="82" ht="120.0" customHeight="1">
      <c r="A82" s="46" t="s">
        <v>593</v>
      </c>
      <c r="B82" s="47" t="s">
        <v>594</v>
      </c>
      <c r="C82" s="48" t="s">
        <v>134</v>
      </c>
      <c r="D82" s="53" t="s">
        <v>55</v>
      </c>
      <c r="E82" s="48" t="s">
        <v>533</v>
      </c>
      <c r="F82" s="47" t="s">
        <v>180</v>
      </c>
      <c r="G82" s="47" t="s">
        <v>595</v>
      </c>
      <c r="H82" s="47" t="s">
        <v>596</v>
      </c>
      <c r="I82" s="47" t="s">
        <v>597</v>
      </c>
      <c r="J82" s="47" t="s">
        <v>598</v>
      </c>
      <c r="K82" s="44" t="s">
        <v>84</v>
      </c>
      <c r="L82" s="48" t="s">
        <v>538</v>
      </c>
      <c r="M82" s="48" t="s">
        <v>18</v>
      </c>
      <c r="N82" s="50">
        <v>46360.0</v>
      </c>
      <c r="O82" s="48" t="s">
        <v>86</v>
      </c>
      <c r="P82" s="39"/>
      <c r="Q82" s="39"/>
      <c r="R82" s="39"/>
    </row>
    <row r="83" ht="120.0" customHeight="1">
      <c r="A83" s="40" t="s">
        <v>599</v>
      </c>
      <c r="B83" s="41" t="s">
        <v>600</v>
      </c>
      <c r="C83" s="42" t="s">
        <v>134</v>
      </c>
      <c r="D83" s="53" t="s">
        <v>55</v>
      </c>
      <c r="E83" s="42" t="s">
        <v>533</v>
      </c>
      <c r="F83" s="41" t="s">
        <v>180</v>
      </c>
      <c r="G83" s="41" t="s">
        <v>601</v>
      </c>
      <c r="H83" s="41" t="s">
        <v>602</v>
      </c>
      <c r="I83" s="41" t="s">
        <v>603</v>
      </c>
      <c r="J83" s="41" t="s">
        <v>604</v>
      </c>
      <c r="K83" s="44" t="s">
        <v>84</v>
      </c>
      <c r="L83" s="42" t="s">
        <v>538</v>
      </c>
      <c r="M83" s="42" t="s">
        <v>18</v>
      </c>
      <c r="N83" s="45">
        <v>46360.0</v>
      </c>
      <c r="O83" s="42" t="s">
        <v>86</v>
      </c>
      <c r="P83" s="39"/>
      <c r="Q83" s="39"/>
      <c r="R83" s="39"/>
    </row>
    <row r="84" ht="120.0" customHeight="1">
      <c r="A84" s="46" t="s">
        <v>605</v>
      </c>
      <c r="B84" s="47" t="s">
        <v>606</v>
      </c>
      <c r="C84" s="48" t="s">
        <v>149</v>
      </c>
      <c r="D84" s="53" t="s">
        <v>55</v>
      </c>
      <c r="E84" s="48" t="s">
        <v>533</v>
      </c>
      <c r="F84" s="47" t="s">
        <v>180</v>
      </c>
      <c r="G84" s="47" t="s">
        <v>607</v>
      </c>
      <c r="H84" s="47" t="s">
        <v>608</v>
      </c>
      <c r="I84" s="47" t="s">
        <v>609</v>
      </c>
      <c r="J84" s="47" t="s">
        <v>610</v>
      </c>
      <c r="K84" s="44" t="s">
        <v>84</v>
      </c>
      <c r="L84" s="48" t="s">
        <v>538</v>
      </c>
      <c r="M84" s="48" t="s">
        <v>18</v>
      </c>
      <c r="N84" s="50">
        <v>46360.0</v>
      </c>
      <c r="O84" s="48" t="s">
        <v>86</v>
      </c>
      <c r="P84" s="39"/>
      <c r="Q84" s="39"/>
      <c r="R84" s="39"/>
    </row>
    <row r="85" ht="120.0" customHeight="1">
      <c r="A85" s="40" t="s">
        <v>611</v>
      </c>
      <c r="B85" s="41" t="s">
        <v>612</v>
      </c>
      <c r="C85" s="42" t="s">
        <v>149</v>
      </c>
      <c r="D85" s="53" t="s">
        <v>55</v>
      </c>
      <c r="E85" s="42" t="s">
        <v>533</v>
      </c>
      <c r="F85" s="41" t="s">
        <v>180</v>
      </c>
      <c r="G85" s="41" t="s">
        <v>613</v>
      </c>
      <c r="H85" s="41" t="s">
        <v>614</v>
      </c>
      <c r="I85" s="41" t="s">
        <v>615</v>
      </c>
      <c r="J85" s="41" t="s">
        <v>616</v>
      </c>
      <c r="K85" s="44" t="s">
        <v>84</v>
      </c>
      <c r="L85" s="42" t="s">
        <v>538</v>
      </c>
      <c r="M85" s="42" t="s">
        <v>18</v>
      </c>
      <c r="N85" s="45">
        <v>46360.0</v>
      </c>
      <c r="O85" s="42" t="s">
        <v>86</v>
      </c>
      <c r="P85" s="39"/>
      <c r="Q85" s="39"/>
      <c r="R85" s="39"/>
    </row>
    <row r="86" ht="120.0" customHeight="1">
      <c r="A86" s="46" t="s">
        <v>617</v>
      </c>
      <c r="B86" s="47" t="s">
        <v>618</v>
      </c>
      <c r="C86" s="48" t="s">
        <v>149</v>
      </c>
      <c r="D86" s="53" t="s">
        <v>55</v>
      </c>
      <c r="E86" s="48" t="s">
        <v>533</v>
      </c>
      <c r="F86" s="47" t="s">
        <v>180</v>
      </c>
      <c r="G86" s="47" t="s">
        <v>619</v>
      </c>
      <c r="H86" s="47" t="s">
        <v>620</v>
      </c>
      <c r="I86" s="47" t="s">
        <v>621</v>
      </c>
      <c r="J86" s="47" t="s">
        <v>622</v>
      </c>
      <c r="K86" s="44" t="s">
        <v>84</v>
      </c>
      <c r="L86" s="48" t="s">
        <v>538</v>
      </c>
      <c r="M86" s="48" t="s">
        <v>18</v>
      </c>
      <c r="N86" s="50">
        <v>46360.0</v>
      </c>
      <c r="O86" s="48" t="s">
        <v>86</v>
      </c>
      <c r="P86" s="39"/>
      <c r="Q86" s="39"/>
      <c r="R86" s="39"/>
    </row>
    <row r="87" ht="120.0" customHeight="1">
      <c r="A87" s="40" t="s">
        <v>623</v>
      </c>
      <c r="B87" s="41" t="s">
        <v>624</v>
      </c>
      <c r="C87" s="42" t="s">
        <v>149</v>
      </c>
      <c r="D87" s="53" t="s">
        <v>55</v>
      </c>
      <c r="E87" s="42" t="s">
        <v>533</v>
      </c>
      <c r="F87" s="41" t="s">
        <v>180</v>
      </c>
      <c r="G87" s="41" t="s">
        <v>625</v>
      </c>
      <c r="H87" s="41" t="s">
        <v>626</v>
      </c>
      <c r="I87" s="41" t="s">
        <v>627</v>
      </c>
      <c r="J87" s="41" t="s">
        <v>628</v>
      </c>
      <c r="K87" s="44" t="s">
        <v>84</v>
      </c>
      <c r="L87" s="42" t="s">
        <v>538</v>
      </c>
      <c r="M87" s="42" t="s">
        <v>18</v>
      </c>
      <c r="N87" s="45">
        <v>46360.0</v>
      </c>
      <c r="O87" s="42" t="s">
        <v>86</v>
      </c>
      <c r="P87" s="39"/>
      <c r="Q87" s="39"/>
      <c r="R87" s="39"/>
    </row>
    <row r="88" ht="120.0" customHeight="1">
      <c r="A88" s="46" t="s">
        <v>629</v>
      </c>
      <c r="B88" s="47" t="s">
        <v>630</v>
      </c>
      <c r="C88" s="48" t="s">
        <v>159</v>
      </c>
      <c r="D88" s="53" t="s">
        <v>55</v>
      </c>
      <c r="E88" s="48" t="s">
        <v>533</v>
      </c>
      <c r="F88" s="47" t="s">
        <v>180</v>
      </c>
      <c r="G88" s="47" t="s">
        <v>631</v>
      </c>
      <c r="H88" s="47" t="s">
        <v>632</v>
      </c>
      <c r="I88" s="47" t="s">
        <v>633</v>
      </c>
      <c r="J88" s="47" t="s">
        <v>634</v>
      </c>
      <c r="K88" s="44" t="s">
        <v>84</v>
      </c>
      <c r="L88" s="48" t="s">
        <v>538</v>
      </c>
      <c r="M88" s="48" t="s">
        <v>18</v>
      </c>
      <c r="N88" s="50">
        <v>46360.0</v>
      </c>
      <c r="O88" s="48" t="s">
        <v>86</v>
      </c>
      <c r="P88" s="39"/>
      <c r="Q88" s="39"/>
      <c r="R88" s="39"/>
    </row>
    <row r="89" ht="120.0" customHeight="1">
      <c r="A89" s="40" t="s">
        <v>635</v>
      </c>
      <c r="B89" s="41" t="s">
        <v>636</v>
      </c>
      <c r="C89" s="42" t="s">
        <v>159</v>
      </c>
      <c r="D89" s="53" t="s">
        <v>55</v>
      </c>
      <c r="E89" s="42" t="s">
        <v>533</v>
      </c>
      <c r="F89" s="41" t="s">
        <v>180</v>
      </c>
      <c r="G89" s="41" t="s">
        <v>637</v>
      </c>
      <c r="H89" s="41" t="s">
        <v>638</v>
      </c>
      <c r="I89" s="41" t="s">
        <v>639</v>
      </c>
      <c r="J89" s="41" t="s">
        <v>640</v>
      </c>
      <c r="K89" s="44" t="s">
        <v>84</v>
      </c>
      <c r="L89" s="42" t="s">
        <v>538</v>
      </c>
      <c r="M89" s="42" t="s">
        <v>18</v>
      </c>
      <c r="N89" s="45">
        <v>46360.0</v>
      </c>
      <c r="O89" s="42" t="s">
        <v>86</v>
      </c>
      <c r="P89" s="39"/>
      <c r="Q89" s="39"/>
      <c r="R89" s="39"/>
    </row>
    <row r="90" ht="120.0" customHeight="1">
      <c r="A90" s="46" t="s">
        <v>641</v>
      </c>
      <c r="B90" s="47" t="s">
        <v>642</v>
      </c>
      <c r="C90" s="48" t="s">
        <v>159</v>
      </c>
      <c r="D90" s="53" t="s">
        <v>55</v>
      </c>
      <c r="E90" s="48" t="s">
        <v>533</v>
      </c>
      <c r="F90" s="47" t="s">
        <v>180</v>
      </c>
      <c r="G90" s="47" t="s">
        <v>643</v>
      </c>
      <c r="H90" s="47" t="s">
        <v>644</v>
      </c>
      <c r="I90" s="47" t="s">
        <v>645</v>
      </c>
      <c r="J90" s="47" t="s">
        <v>646</v>
      </c>
      <c r="K90" s="44" t="s">
        <v>84</v>
      </c>
      <c r="L90" s="48" t="s">
        <v>538</v>
      </c>
      <c r="M90" s="48" t="s">
        <v>18</v>
      </c>
      <c r="N90" s="50">
        <v>46360.0</v>
      </c>
      <c r="O90" s="48" t="s">
        <v>86</v>
      </c>
      <c r="P90" s="39"/>
      <c r="Q90" s="39"/>
      <c r="R90" s="39"/>
    </row>
    <row r="91" ht="120.0" customHeight="1">
      <c r="A91" s="40" t="s">
        <v>647</v>
      </c>
      <c r="B91" s="41" t="s">
        <v>648</v>
      </c>
      <c r="C91" s="42" t="s">
        <v>159</v>
      </c>
      <c r="D91" s="53" t="s">
        <v>55</v>
      </c>
      <c r="E91" s="42" t="s">
        <v>533</v>
      </c>
      <c r="F91" s="41" t="s">
        <v>180</v>
      </c>
      <c r="G91" s="41" t="s">
        <v>649</v>
      </c>
      <c r="H91" s="41" t="s">
        <v>650</v>
      </c>
      <c r="I91" s="41" t="s">
        <v>651</v>
      </c>
      <c r="J91" s="41" t="s">
        <v>652</v>
      </c>
      <c r="K91" s="44" t="s">
        <v>84</v>
      </c>
      <c r="L91" s="42" t="s">
        <v>538</v>
      </c>
      <c r="M91" s="42" t="s">
        <v>18</v>
      </c>
      <c r="N91" s="45">
        <v>46360.0</v>
      </c>
      <c r="O91" s="42" t="s">
        <v>86</v>
      </c>
      <c r="P91" s="39"/>
      <c r="Q91" s="39"/>
      <c r="R91" s="39"/>
    </row>
    <row r="92" ht="120.0" customHeight="1">
      <c r="A92" s="46" t="s">
        <v>653</v>
      </c>
      <c r="B92" s="47" t="s">
        <v>654</v>
      </c>
      <c r="C92" s="48" t="s">
        <v>655</v>
      </c>
      <c r="D92" s="53" t="s">
        <v>55</v>
      </c>
      <c r="E92" s="48" t="s">
        <v>656</v>
      </c>
      <c r="F92" s="47" t="s">
        <v>657</v>
      </c>
      <c r="G92" s="47" t="s">
        <v>658</v>
      </c>
      <c r="H92" s="47" t="s">
        <v>659</v>
      </c>
      <c r="I92" s="47" t="s">
        <v>660</v>
      </c>
      <c r="J92" s="47" t="s">
        <v>661</v>
      </c>
      <c r="K92" s="44" t="s">
        <v>84</v>
      </c>
      <c r="L92" s="48" t="s">
        <v>538</v>
      </c>
      <c r="M92" s="48" t="s">
        <v>18</v>
      </c>
      <c r="N92" s="50">
        <v>46360.0</v>
      </c>
      <c r="O92" s="48" t="s">
        <v>86</v>
      </c>
      <c r="P92" s="39"/>
      <c r="Q92" s="39"/>
      <c r="R92" s="39"/>
    </row>
    <row r="93" ht="120.0" customHeight="1">
      <c r="A93" s="40" t="s">
        <v>662</v>
      </c>
      <c r="B93" s="41" t="s">
        <v>663</v>
      </c>
      <c r="C93" s="42" t="s">
        <v>664</v>
      </c>
      <c r="D93" s="53" t="s">
        <v>55</v>
      </c>
      <c r="E93" s="42" t="s">
        <v>78</v>
      </c>
      <c r="F93" s="41" t="s">
        <v>79</v>
      </c>
      <c r="G93" s="41" t="s">
        <v>665</v>
      </c>
      <c r="H93" s="41" t="s">
        <v>666</v>
      </c>
      <c r="I93" s="41" t="s">
        <v>667</v>
      </c>
      <c r="J93" s="41" t="s">
        <v>668</v>
      </c>
      <c r="K93" s="44" t="s">
        <v>84</v>
      </c>
      <c r="L93" s="42" t="s">
        <v>538</v>
      </c>
      <c r="M93" s="42" t="s">
        <v>18</v>
      </c>
      <c r="N93" s="45">
        <v>46360.0</v>
      </c>
      <c r="O93" s="42" t="s">
        <v>86</v>
      </c>
      <c r="P93" s="39"/>
      <c r="Q93" s="39"/>
      <c r="R93" s="39"/>
    </row>
    <row r="94" ht="120.0" customHeight="1">
      <c r="A94" s="46" t="s">
        <v>669</v>
      </c>
      <c r="B94" s="47" t="s">
        <v>670</v>
      </c>
      <c r="C94" s="48" t="s">
        <v>664</v>
      </c>
      <c r="D94" s="53" t="s">
        <v>55</v>
      </c>
      <c r="E94" s="48" t="s">
        <v>78</v>
      </c>
      <c r="F94" s="47" t="s">
        <v>79</v>
      </c>
      <c r="G94" s="47" t="s">
        <v>671</v>
      </c>
      <c r="H94" s="47" t="s">
        <v>672</v>
      </c>
      <c r="I94" s="47" t="s">
        <v>673</v>
      </c>
      <c r="J94" s="47" t="s">
        <v>674</v>
      </c>
      <c r="K94" s="44" t="s">
        <v>84</v>
      </c>
      <c r="L94" s="48" t="s">
        <v>538</v>
      </c>
      <c r="M94" s="48" t="s">
        <v>18</v>
      </c>
      <c r="N94" s="50">
        <v>46360.0</v>
      </c>
      <c r="O94" s="48" t="s">
        <v>86</v>
      </c>
      <c r="P94" s="39"/>
      <c r="Q94" s="39"/>
      <c r="R94" s="39"/>
    </row>
    <row r="95" ht="120.0" customHeight="1">
      <c r="A95" s="40" t="s">
        <v>675</v>
      </c>
      <c r="B95" s="41" t="s">
        <v>676</v>
      </c>
      <c r="C95" s="42" t="s">
        <v>664</v>
      </c>
      <c r="D95" s="53" t="s">
        <v>55</v>
      </c>
      <c r="E95" s="42" t="s">
        <v>78</v>
      </c>
      <c r="F95" s="41" t="s">
        <v>677</v>
      </c>
      <c r="G95" s="41" t="s">
        <v>678</v>
      </c>
      <c r="H95" s="41" t="s">
        <v>679</v>
      </c>
      <c r="I95" s="41" t="s">
        <v>680</v>
      </c>
      <c r="J95" s="41" t="s">
        <v>681</v>
      </c>
      <c r="K95" s="44" t="s">
        <v>84</v>
      </c>
      <c r="L95" s="42" t="s">
        <v>538</v>
      </c>
      <c r="M95" s="42" t="s">
        <v>18</v>
      </c>
      <c r="N95" s="45">
        <v>46360.0</v>
      </c>
      <c r="O95" s="42" t="s">
        <v>86</v>
      </c>
      <c r="P95" s="39"/>
      <c r="Q95" s="39"/>
      <c r="R95" s="39"/>
    </row>
    <row r="96" ht="120.0" customHeight="1">
      <c r="A96" s="46" t="s">
        <v>682</v>
      </c>
      <c r="B96" s="47" t="s">
        <v>683</v>
      </c>
      <c r="C96" s="48" t="s">
        <v>664</v>
      </c>
      <c r="D96" s="53" t="s">
        <v>55</v>
      </c>
      <c r="E96" s="48" t="s">
        <v>78</v>
      </c>
      <c r="F96" s="47" t="s">
        <v>684</v>
      </c>
      <c r="G96" s="47" t="s">
        <v>685</v>
      </c>
      <c r="H96" s="47" t="s">
        <v>666</v>
      </c>
      <c r="I96" s="47" t="s">
        <v>686</v>
      </c>
      <c r="J96" s="47" t="s">
        <v>687</v>
      </c>
      <c r="K96" s="44" t="s">
        <v>84</v>
      </c>
      <c r="L96" s="48" t="s">
        <v>538</v>
      </c>
      <c r="M96" s="48" t="s">
        <v>18</v>
      </c>
      <c r="N96" s="50">
        <v>46360.0</v>
      </c>
      <c r="O96" s="48" t="s">
        <v>86</v>
      </c>
      <c r="P96" s="39"/>
      <c r="Q96" s="39"/>
      <c r="R96" s="39"/>
    </row>
    <row r="97" ht="120.0" customHeight="1">
      <c r="A97" s="40" t="s">
        <v>688</v>
      </c>
      <c r="B97" s="41" t="s">
        <v>689</v>
      </c>
      <c r="C97" s="42" t="s">
        <v>450</v>
      </c>
      <c r="D97" s="53" t="s">
        <v>55</v>
      </c>
      <c r="E97" s="42" t="s">
        <v>78</v>
      </c>
      <c r="F97" s="41" t="s">
        <v>115</v>
      </c>
      <c r="G97" s="41" t="s">
        <v>690</v>
      </c>
      <c r="H97" s="41" t="s">
        <v>691</v>
      </c>
      <c r="I97" s="41" t="s">
        <v>692</v>
      </c>
      <c r="J97" s="41" t="s">
        <v>693</v>
      </c>
      <c r="K97" s="44" t="s">
        <v>84</v>
      </c>
      <c r="L97" s="42" t="s">
        <v>538</v>
      </c>
      <c r="M97" s="42" t="s">
        <v>18</v>
      </c>
      <c r="N97" s="45">
        <v>46360.0</v>
      </c>
      <c r="O97" s="42" t="s">
        <v>86</v>
      </c>
      <c r="P97" s="39"/>
      <c r="Q97" s="39"/>
      <c r="R97" s="39"/>
    </row>
    <row r="98" ht="120.0" customHeight="1">
      <c r="A98" s="46" t="s">
        <v>694</v>
      </c>
      <c r="B98" s="47" t="s">
        <v>695</v>
      </c>
      <c r="C98" s="48" t="s">
        <v>450</v>
      </c>
      <c r="D98" s="53" t="s">
        <v>55</v>
      </c>
      <c r="E98" s="48" t="s">
        <v>78</v>
      </c>
      <c r="F98" s="47" t="s">
        <v>696</v>
      </c>
      <c r="G98" s="47" t="s">
        <v>697</v>
      </c>
      <c r="H98" s="47" t="s">
        <v>698</v>
      </c>
      <c r="I98" s="47" t="s">
        <v>699</v>
      </c>
      <c r="J98" s="47" t="s">
        <v>700</v>
      </c>
      <c r="K98" s="44" t="s">
        <v>84</v>
      </c>
      <c r="L98" s="48" t="s">
        <v>538</v>
      </c>
      <c r="M98" s="48" t="s">
        <v>18</v>
      </c>
      <c r="N98" s="50">
        <v>46360.0</v>
      </c>
      <c r="O98" s="48" t="s">
        <v>86</v>
      </c>
      <c r="P98" s="39"/>
      <c r="Q98" s="39"/>
      <c r="R98" s="39"/>
    </row>
    <row r="99" ht="120.0" customHeight="1">
      <c r="A99" s="40" t="s">
        <v>701</v>
      </c>
      <c r="B99" s="41" t="s">
        <v>702</v>
      </c>
      <c r="C99" s="42" t="s">
        <v>450</v>
      </c>
      <c r="D99" s="53" t="s">
        <v>55</v>
      </c>
      <c r="E99" s="42" t="s">
        <v>78</v>
      </c>
      <c r="F99" s="41" t="s">
        <v>703</v>
      </c>
      <c r="G99" s="41" t="s">
        <v>704</v>
      </c>
      <c r="H99" s="41" t="s">
        <v>705</v>
      </c>
      <c r="I99" s="41" t="s">
        <v>706</v>
      </c>
      <c r="J99" s="41" t="s">
        <v>463</v>
      </c>
      <c r="K99" s="52" t="s">
        <v>464</v>
      </c>
      <c r="L99" s="42" t="s">
        <v>538</v>
      </c>
      <c r="M99" s="42" t="s">
        <v>18</v>
      </c>
      <c r="N99" s="45">
        <v>46360.0</v>
      </c>
      <c r="O99" s="42" t="s">
        <v>465</v>
      </c>
      <c r="P99" s="39"/>
      <c r="Q99" s="39"/>
      <c r="R99" s="39"/>
    </row>
    <row r="100" ht="120.0" customHeight="1">
      <c r="A100" s="46" t="s">
        <v>707</v>
      </c>
      <c r="B100" s="47" t="s">
        <v>708</v>
      </c>
      <c r="C100" s="48" t="s">
        <v>450</v>
      </c>
      <c r="D100" s="53" t="s">
        <v>55</v>
      </c>
      <c r="E100" s="48" t="s">
        <v>78</v>
      </c>
      <c r="F100" s="47" t="s">
        <v>709</v>
      </c>
      <c r="G100" s="47" t="s">
        <v>710</v>
      </c>
      <c r="H100" s="47" t="s">
        <v>711</v>
      </c>
      <c r="I100" s="47" t="s">
        <v>396</v>
      </c>
      <c r="J100" s="47" t="s">
        <v>463</v>
      </c>
      <c r="K100" s="52" t="s">
        <v>464</v>
      </c>
      <c r="L100" s="48" t="s">
        <v>538</v>
      </c>
      <c r="M100" s="48" t="s">
        <v>18</v>
      </c>
      <c r="N100" s="50">
        <v>46360.0</v>
      </c>
      <c r="O100" s="48" t="s">
        <v>465</v>
      </c>
      <c r="P100" s="39"/>
      <c r="Q100" s="39"/>
      <c r="R100" s="39"/>
    </row>
    <row r="101" ht="120.0" customHeight="1">
      <c r="A101" s="40" t="s">
        <v>712</v>
      </c>
      <c r="B101" s="41" t="s">
        <v>713</v>
      </c>
      <c r="C101" s="42" t="s">
        <v>450</v>
      </c>
      <c r="D101" s="53" t="s">
        <v>55</v>
      </c>
      <c r="E101" s="42" t="s">
        <v>78</v>
      </c>
      <c r="F101" s="41" t="s">
        <v>696</v>
      </c>
      <c r="G101" s="41" t="s">
        <v>714</v>
      </c>
      <c r="H101" s="41" t="s">
        <v>453</v>
      </c>
      <c r="I101" s="41" t="s">
        <v>715</v>
      </c>
      <c r="J101" s="41" t="s">
        <v>716</v>
      </c>
      <c r="K101" s="49" t="s">
        <v>96</v>
      </c>
      <c r="L101" s="42" t="s">
        <v>538</v>
      </c>
      <c r="M101" s="42" t="s">
        <v>18</v>
      </c>
      <c r="N101" s="45">
        <v>46360.0</v>
      </c>
      <c r="O101" s="42" t="s">
        <v>717</v>
      </c>
      <c r="P101" s="39"/>
      <c r="Q101" s="54" t="s">
        <v>718</v>
      </c>
      <c r="R101" s="39"/>
    </row>
    <row r="102" ht="120.0" customHeight="1">
      <c r="A102" s="46" t="s">
        <v>719</v>
      </c>
      <c r="B102" s="47" t="s">
        <v>720</v>
      </c>
      <c r="C102" s="48" t="s">
        <v>721</v>
      </c>
      <c r="D102" s="53" t="s">
        <v>55</v>
      </c>
      <c r="E102" s="48" t="s">
        <v>656</v>
      </c>
      <c r="F102" s="47" t="s">
        <v>722</v>
      </c>
      <c r="G102" s="47" t="s">
        <v>723</v>
      </c>
      <c r="H102" s="47" t="s">
        <v>109</v>
      </c>
      <c r="I102" s="47" t="s">
        <v>724</v>
      </c>
      <c r="J102" s="47" t="s">
        <v>725</v>
      </c>
      <c r="K102" s="44" t="s">
        <v>84</v>
      </c>
      <c r="L102" s="48" t="s">
        <v>538</v>
      </c>
      <c r="M102" s="48" t="s">
        <v>18</v>
      </c>
      <c r="N102" s="50">
        <v>46360.0</v>
      </c>
      <c r="O102" s="48" t="s">
        <v>86</v>
      </c>
      <c r="P102" s="39"/>
      <c r="Q102" s="39"/>
      <c r="R102" s="39"/>
    </row>
    <row r="103" ht="120.0" customHeight="1">
      <c r="A103" s="40" t="s">
        <v>726</v>
      </c>
      <c r="B103" s="41" t="s">
        <v>727</v>
      </c>
      <c r="C103" s="42" t="s">
        <v>728</v>
      </c>
      <c r="D103" s="53" t="s">
        <v>55</v>
      </c>
      <c r="E103" s="42" t="s">
        <v>78</v>
      </c>
      <c r="F103" s="41" t="s">
        <v>729</v>
      </c>
      <c r="G103" s="41" t="s">
        <v>730</v>
      </c>
      <c r="H103" s="41" t="s">
        <v>731</v>
      </c>
      <c r="I103" s="41" t="s">
        <v>732</v>
      </c>
      <c r="J103" s="41" t="s">
        <v>732</v>
      </c>
      <c r="K103" s="44" t="s">
        <v>84</v>
      </c>
      <c r="L103" s="42" t="s">
        <v>538</v>
      </c>
      <c r="M103" s="42" t="s">
        <v>18</v>
      </c>
      <c r="N103" s="45">
        <v>46360.0</v>
      </c>
      <c r="O103" s="42" t="s">
        <v>86</v>
      </c>
      <c r="P103" s="39"/>
      <c r="Q103" s="39"/>
      <c r="R103" s="39"/>
    </row>
    <row r="104" ht="120.0" customHeight="1">
      <c r="A104" s="46" t="s">
        <v>733</v>
      </c>
      <c r="B104" s="47" t="s">
        <v>734</v>
      </c>
      <c r="C104" s="48" t="s">
        <v>721</v>
      </c>
      <c r="D104" s="53" t="s">
        <v>55</v>
      </c>
      <c r="E104" s="48" t="s">
        <v>78</v>
      </c>
      <c r="F104" s="47" t="s">
        <v>735</v>
      </c>
      <c r="G104" s="47" t="s">
        <v>736</v>
      </c>
      <c r="H104" s="47" t="s">
        <v>737</v>
      </c>
      <c r="I104" s="47" t="s">
        <v>738</v>
      </c>
      <c r="J104" s="47" t="s">
        <v>738</v>
      </c>
      <c r="K104" s="44" t="s">
        <v>84</v>
      </c>
      <c r="L104" s="48" t="s">
        <v>538</v>
      </c>
      <c r="M104" s="48" t="s">
        <v>18</v>
      </c>
      <c r="N104" s="50">
        <v>46360.0</v>
      </c>
      <c r="O104" s="48" t="s">
        <v>86</v>
      </c>
      <c r="P104" s="39"/>
      <c r="Q104" s="39"/>
      <c r="R104" s="39"/>
    </row>
    <row r="105" ht="120.0" customHeight="1">
      <c r="A105" s="40" t="s">
        <v>739</v>
      </c>
      <c r="B105" s="41" t="s">
        <v>740</v>
      </c>
      <c r="C105" s="42" t="s">
        <v>439</v>
      </c>
      <c r="D105" s="53" t="s">
        <v>55</v>
      </c>
      <c r="E105" s="42" t="s">
        <v>78</v>
      </c>
      <c r="F105" s="41" t="s">
        <v>741</v>
      </c>
      <c r="G105" s="41" t="s">
        <v>742</v>
      </c>
      <c r="H105" s="41" t="s">
        <v>743</v>
      </c>
      <c r="I105" s="41" t="s">
        <v>744</v>
      </c>
      <c r="J105" s="41" t="s">
        <v>744</v>
      </c>
      <c r="K105" s="44" t="s">
        <v>84</v>
      </c>
      <c r="L105" s="42" t="s">
        <v>538</v>
      </c>
      <c r="M105" s="42" t="s">
        <v>18</v>
      </c>
      <c r="N105" s="45">
        <v>46360.0</v>
      </c>
      <c r="O105" s="42" t="s">
        <v>86</v>
      </c>
      <c r="P105" s="39"/>
      <c r="Q105" s="39"/>
      <c r="R105" s="39"/>
    </row>
    <row r="106" ht="120.0" customHeight="1">
      <c r="A106" s="46" t="s">
        <v>745</v>
      </c>
      <c r="B106" s="47" t="s">
        <v>746</v>
      </c>
      <c r="C106" s="48" t="s">
        <v>747</v>
      </c>
      <c r="D106" s="53" t="s">
        <v>55</v>
      </c>
      <c r="E106" s="48" t="s">
        <v>78</v>
      </c>
      <c r="F106" s="47" t="s">
        <v>748</v>
      </c>
      <c r="G106" s="47" t="s">
        <v>749</v>
      </c>
      <c r="H106" s="47" t="s">
        <v>750</v>
      </c>
      <c r="I106" s="47" t="s">
        <v>751</v>
      </c>
      <c r="J106" s="47" t="s">
        <v>751</v>
      </c>
      <c r="K106" s="44" t="s">
        <v>84</v>
      </c>
      <c r="L106" s="48" t="s">
        <v>538</v>
      </c>
      <c r="M106" s="48" t="s">
        <v>18</v>
      </c>
      <c r="N106" s="50">
        <v>46360.0</v>
      </c>
      <c r="O106" s="48" t="s">
        <v>86</v>
      </c>
      <c r="P106" s="39"/>
      <c r="Q106" s="39"/>
      <c r="R106" s="39"/>
    </row>
    <row r="107" ht="120.0" customHeight="1">
      <c r="A107" s="40" t="s">
        <v>752</v>
      </c>
      <c r="B107" s="41" t="s">
        <v>753</v>
      </c>
      <c r="C107" s="42" t="s">
        <v>439</v>
      </c>
      <c r="D107" s="53" t="s">
        <v>55</v>
      </c>
      <c r="E107" s="42" t="s">
        <v>78</v>
      </c>
      <c r="F107" s="41" t="s">
        <v>754</v>
      </c>
      <c r="G107" s="41" t="s">
        <v>755</v>
      </c>
      <c r="H107" s="41" t="s">
        <v>756</v>
      </c>
      <c r="I107" s="41" t="s">
        <v>757</v>
      </c>
      <c r="J107" s="41" t="s">
        <v>757</v>
      </c>
      <c r="K107" s="44" t="s">
        <v>84</v>
      </c>
      <c r="L107" s="42" t="s">
        <v>538</v>
      </c>
      <c r="M107" s="42" t="s">
        <v>18</v>
      </c>
      <c r="N107" s="45">
        <v>46360.0</v>
      </c>
      <c r="O107" s="42" t="s">
        <v>86</v>
      </c>
      <c r="P107" s="39"/>
      <c r="Q107" s="39"/>
      <c r="R107" s="39"/>
    </row>
    <row r="108" ht="120.0" customHeight="1">
      <c r="A108" s="46" t="s">
        <v>758</v>
      </c>
      <c r="B108" s="47" t="s">
        <v>759</v>
      </c>
      <c r="C108" s="48" t="s">
        <v>439</v>
      </c>
      <c r="D108" s="53" t="s">
        <v>55</v>
      </c>
      <c r="E108" s="48" t="s">
        <v>78</v>
      </c>
      <c r="F108" s="47" t="s">
        <v>760</v>
      </c>
      <c r="G108" s="47" t="s">
        <v>761</v>
      </c>
      <c r="H108" s="47" t="s">
        <v>762</v>
      </c>
      <c r="I108" s="47" t="s">
        <v>763</v>
      </c>
      <c r="J108" s="47" t="s">
        <v>763</v>
      </c>
      <c r="K108" s="44" t="s">
        <v>84</v>
      </c>
      <c r="L108" s="48" t="s">
        <v>538</v>
      </c>
      <c r="M108" s="48" t="s">
        <v>18</v>
      </c>
      <c r="N108" s="50">
        <v>46360.0</v>
      </c>
      <c r="O108" s="48" t="s">
        <v>86</v>
      </c>
      <c r="P108" s="39"/>
      <c r="Q108" s="39"/>
      <c r="R108" s="39"/>
    </row>
    <row r="109" ht="120.0" customHeight="1">
      <c r="A109" s="40" t="s">
        <v>764</v>
      </c>
      <c r="B109" s="41" t="s">
        <v>765</v>
      </c>
      <c r="C109" s="42" t="s">
        <v>766</v>
      </c>
      <c r="D109" s="55" t="s">
        <v>58</v>
      </c>
      <c r="E109" s="42" t="s">
        <v>767</v>
      </c>
      <c r="F109" s="41" t="s">
        <v>768</v>
      </c>
      <c r="G109" s="41" t="s">
        <v>769</v>
      </c>
      <c r="H109" s="41" t="s">
        <v>770</v>
      </c>
      <c r="I109" s="41" t="s">
        <v>771</v>
      </c>
      <c r="J109" s="41" t="s">
        <v>772</v>
      </c>
      <c r="K109" s="44" t="s">
        <v>84</v>
      </c>
      <c r="L109" s="42" t="s">
        <v>538</v>
      </c>
      <c r="M109" s="42" t="s">
        <v>18</v>
      </c>
      <c r="N109" s="45">
        <v>46360.0</v>
      </c>
      <c r="O109" s="42" t="s">
        <v>86</v>
      </c>
      <c r="P109" s="39"/>
      <c r="Q109" s="39"/>
      <c r="R109" s="39"/>
    </row>
    <row r="110" ht="120.0" customHeight="1">
      <c r="A110" s="46" t="s">
        <v>773</v>
      </c>
      <c r="B110" s="47" t="s">
        <v>774</v>
      </c>
      <c r="C110" s="48" t="s">
        <v>775</v>
      </c>
      <c r="D110" s="55" t="s">
        <v>58</v>
      </c>
      <c r="E110" s="48" t="s">
        <v>776</v>
      </c>
      <c r="F110" s="47" t="s">
        <v>79</v>
      </c>
      <c r="G110" s="47" t="s">
        <v>777</v>
      </c>
      <c r="H110" s="47" t="s">
        <v>778</v>
      </c>
      <c r="I110" s="47" t="s">
        <v>779</v>
      </c>
      <c r="J110" s="47" t="s">
        <v>780</v>
      </c>
      <c r="K110" s="44" t="s">
        <v>84</v>
      </c>
      <c r="L110" s="48" t="s">
        <v>781</v>
      </c>
      <c r="M110" s="48" t="s">
        <v>18</v>
      </c>
      <c r="N110" s="50">
        <v>46360.0</v>
      </c>
      <c r="O110" s="48" t="s">
        <v>86</v>
      </c>
      <c r="P110" s="39"/>
      <c r="Q110" s="39"/>
      <c r="R110" s="39"/>
    </row>
    <row r="111" ht="120.0" customHeight="1">
      <c r="A111" s="40" t="s">
        <v>782</v>
      </c>
      <c r="B111" s="41" t="s">
        <v>783</v>
      </c>
      <c r="C111" s="42" t="s">
        <v>775</v>
      </c>
      <c r="D111" s="55" t="s">
        <v>58</v>
      </c>
      <c r="E111" s="42" t="s">
        <v>776</v>
      </c>
      <c r="F111" s="41" t="s">
        <v>784</v>
      </c>
      <c r="G111" s="41" t="s">
        <v>785</v>
      </c>
      <c r="H111" s="41" t="s">
        <v>786</v>
      </c>
      <c r="I111" s="41" t="s">
        <v>787</v>
      </c>
      <c r="J111" s="41" t="s">
        <v>788</v>
      </c>
      <c r="K111" s="49" t="s">
        <v>96</v>
      </c>
      <c r="L111" s="42" t="s">
        <v>781</v>
      </c>
      <c r="M111" s="42" t="s">
        <v>18</v>
      </c>
      <c r="N111" s="45">
        <v>46360.0</v>
      </c>
      <c r="O111" s="42" t="s">
        <v>789</v>
      </c>
      <c r="P111" s="39"/>
      <c r="Q111" s="39"/>
      <c r="R111" s="39"/>
    </row>
    <row r="112" ht="120.0" customHeight="1">
      <c r="A112" s="46" t="s">
        <v>790</v>
      </c>
      <c r="B112" s="47" t="s">
        <v>791</v>
      </c>
      <c r="C112" s="48" t="s">
        <v>792</v>
      </c>
      <c r="D112" s="55" t="s">
        <v>58</v>
      </c>
      <c r="E112" s="48" t="s">
        <v>793</v>
      </c>
      <c r="F112" s="47" t="s">
        <v>794</v>
      </c>
      <c r="G112" s="47" t="s">
        <v>795</v>
      </c>
      <c r="H112" s="47" t="s">
        <v>796</v>
      </c>
      <c r="I112" s="47" t="s">
        <v>797</v>
      </c>
      <c r="J112" s="47" t="s">
        <v>798</v>
      </c>
      <c r="K112" s="44" t="s">
        <v>84</v>
      </c>
      <c r="L112" s="48" t="s">
        <v>781</v>
      </c>
      <c r="M112" s="48" t="s">
        <v>18</v>
      </c>
      <c r="N112" s="50">
        <v>46360.0</v>
      </c>
      <c r="O112" s="48" t="s">
        <v>86</v>
      </c>
      <c r="P112" s="39"/>
      <c r="Q112" s="39"/>
      <c r="R112" s="39"/>
    </row>
    <row r="113" ht="120.0" customHeight="1">
      <c r="A113" s="40" t="s">
        <v>799</v>
      </c>
      <c r="B113" s="41" t="s">
        <v>800</v>
      </c>
      <c r="C113" s="42" t="s">
        <v>792</v>
      </c>
      <c r="D113" s="55" t="s">
        <v>58</v>
      </c>
      <c r="E113" s="42" t="s">
        <v>801</v>
      </c>
      <c r="F113" s="41" t="s">
        <v>802</v>
      </c>
      <c r="G113" s="41" t="s">
        <v>803</v>
      </c>
      <c r="H113" s="41" t="s">
        <v>804</v>
      </c>
      <c r="I113" s="41" t="s">
        <v>805</v>
      </c>
      <c r="J113" s="41" t="s">
        <v>806</v>
      </c>
      <c r="K113" s="44" t="s">
        <v>84</v>
      </c>
      <c r="L113" s="42" t="s">
        <v>781</v>
      </c>
      <c r="M113" s="42" t="s">
        <v>18</v>
      </c>
      <c r="N113" s="45">
        <v>46360.0</v>
      </c>
      <c r="O113" s="42" t="s">
        <v>86</v>
      </c>
      <c r="P113" s="39"/>
      <c r="Q113" s="39"/>
      <c r="R113" s="39"/>
    </row>
    <row r="114" ht="120.0" customHeight="1">
      <c r="A114" s="46" t="s">
        <v>807</v>
      </c>
      <c r="B114" s="47" t="s">
        <v>808</v>
      </c>
      <c r="C114" s="48" t="s">
        <v>809</v>
      </c>
      <c r="D114" s="55" t="s">
        <v>58</v>
      </c>
      <c r="E114" s="48" t="s">
        <v>793</v>
      </c>
      <c r="F114" s="47" t="s">
        <v>794</v>
      </c>
      <c r="G114" s="47" t="s">
        <v>810</v>
      </c>
      <c r="H114" s="47" t="s">
        <v>811</v>
      </c>
      <c r="I114" s="47" t="s">
        <v>812</v>
      </c>
      <c r="J114" s="47" t="s">
        <v>813</v>
      </c>
      <c r="K114" s="44" t="s">
        <v>84</v>
      </c>
      <c r="L114" s="48" t="s">
        <v>781</v>
      </c>
      <c r="M114" s="48" t="s">
        <v>18</v>
      </c>
      <c r="N114" s="50">
        <v>46360.0</v>
      </c>
      <c r="O114" s="48" t="s">
        <v>86</v>
      </c>
      <c r="P114" s="39"/>
      <c r="Q114" s="39"/>
      <c r="R114" s="39"/>
    </row>
    <row r="115" ht="120.0" customHeight="1">
      <c r="A115" s="40" t="s">
        <v>814</v>
      </c>
      <c r="B115" s="41" t="s">
        <v>815</v>
      </c>
      <c r="C115" s="42" t="s">
        <v>816</v>
      </c>
      <c r="D115" s="55" t="s">
        <v>58</v>
      </c>
      <c r="E115" s="42" t="s">
        <v>776</v>
      </c>
      <c r="F115" s="41" t="s">
        <v>817</v>
      </c>
      <c r="G115" s="41" t="s">
        <v>818</v>
      </c>
      <c r="H115" s="41" t="s">
        <v>819</v>
      </c>
      <c r="I115" s="41" t="s">
        <v>820</v>
      </c>
      <c r="J115" s="41" t="s">
        <v>821</v>
      </c>
      <c r="K115" s="44" t="s">
        <v>84</v>
      </c>
      <c r="L115" s="42" t="s">
        <v>781</v>
      </c>
      <c r="M115" s="42" t="s">
        <v>18</v>
      </c>
      <c r="N115" s="45">
        <v>46360.0</v>
      </c>
      <c r="O115" s="42" t="s">
        <v>86</v>
      </c>
      <c r="P115" s="39"/>
      <c r="Q115" s="39"/>
      <c r="R115" s="39"/>
    </row>
    <row r="116" ht="120.0" customHeight="1">
      <c r="A116" s="46" t="s">
        <v>822</v>
      </c>
      <c r="B116" s="47" t="s">
        <v>823</v>
      </c>
      <c r="C116" s="48" t="s">
        <v>816</v>
      </c>
      <c r="D116" s="55" t="s">
        <v>58</v>
      </c>
      <c r="E116" s="48" t="s">
        <v>776</v>
      </c>
      <c r="F116" s="47" t="s">
        <v>824</v>
      </c>
      <c r="G116" s="47" t="s">
        <v>825</v>
      </c>
      <c r="H116" s="47" t="s">
        <v>826</v>
      </c>
      <c r="I116" s="47" t="s">
        <v>827</v>
      </c>
      <c r="J116" s="47" t="s">
        <v>828</v>
      </c>
      <c r="K116" s="44" t="s">
        <v>84</v>
      </c>
      <c r="L116" s="48" t="s">
        <v>781</v>
      </c>
      <c r="M116" s="48" t="s">
        <v>18</v>
      </c>
      <c r="N116" s="50">
        <v>46360.0</v>
      </c>
      <c r="O116" s="48" t="s">
        <v>86</v>
      </c>
      <c r="P116" s="39"/>
      <c r="Q116" s="39"/>
      <c r="R116" s="39"/>
    </row>
    <row r="117" ht="120.0" customHeight="1">
      <c r="A117" s="40" t="s">
        <v>829</v>
      </c>
      <c r="B117" s="41" t="s">
        <v>830</v>
      </c>
      <c r="C117" s="42" t="s">
        <v>831</v>
      </c>
      <c r="D117" s="55" t="s">
        <v>58</v>
      </c>
      <c r="E117" s="42" t="s">
        <v>776</v>
      </c>
      <c r="F117" s="41" t="s">
        <v>115</v>
      </c>
      <c r="G117" s="41" t="s">
        <v>832</v>
      </c>
      <c r="H117" s="41" t="s">
        <v>356</v>
      </c>
      <c r="I117" s="41" t="s">
        <v>833</v>
      </c>
      <c r="J117" s="41" t="s">
        <v>833</v>
      </c>
      <c r="K117" s="44" t="s">
        <v>84</v>
      </c>
      <c r="L117" s="42" t="s">
        <v>781</v>
      </c>
      <c r="M117" s="42" t="s">
        <v>18</v>
      </c>
      <c r="N117" s="45">
        <v>46360.0</v>
      </c>
      <c r="O117" s="42" t="s">
        <v>86</v>
      </c>
      <c r="P117" s="39"/>
      <c r="Q117" s="39"/>
      <c r="R117" s="39"/>
    </row>
    <row r="118" ht="120.0" customHeight="1">
      <c r="A118" s="46" t="s">
        <v>834</v>
      </c>
      <c r="B118" s="47" t="s">
        <v>783</v>
      </c>
      <c r="C118" s="48" t="s">
        <v>835</v>
      </c>
      <c r="D118" s="55" t="s">
        <v>58</v>
      </c>
      <c r="E118" s="48" t="s">
        <v>776</v>
      </c>
      <c r="F118" s="47" t="s">
        <v>836</v>
      </c>
      <c r="G118" s="47" t="s">
        <v>837</v>
      </c>
      <c r="H118" s="47" t="s">
        <v>786</v>
      </c>
      <c r="I118" s="47" t="s">
        <v>838</v>
      </c>
      <c r="J118" s="47" t="s">
        <v>839</v>
      </c>
      <c r="K118" s="49" t="s">
        <v>96</v>
      </c>
      <c r="L118" s="48" t="s">
        <v>781</v>
      </c>
      <c r="M118" s="48" t="s">
        <v>18</v>
      </c>
      <c r="N118" s="50">
        <v>46360.0</v>
      </c>
      <c r="O118" s="48" t="s">
        <v>840</v>
      </c>
      <c r="P118" s="39"/>
      <c r="Q118" s="39"/>
      <c r="R118" s="39"/>
    </row>
    <row r="119" ht="120.0" customHeight="1">
      <c r="A119" s="40" t="s">
        <v>841</v>
      </c>
      <c r="B119" s="41" t="s">
        <v>842</v>
      </c>
      <c r="C119" s="42" t="s">
        <v>831</v>
      </c>
      <c r="D119" s="55" t="s">
        <v>58</v>
      </c>
      <c r="E119" s="42" t="s">
        <v>793</v>
      </c>
      <c r="F119" s="41" t="s">
        <v>843</v>
      </c>
      <c r="G119" s="41" t="s">
        <v>844</v>
      </c>
      <c r="H119" s="41" t="s">
        <v>845</v>
      </c>
      <c r="I119" s="41" t="s">
        <v>846</v>
      </c>
      <c r="J119" s="41" t="s">
        <v>846</v>
      </c>
      <c r="K119" s="44" t="s">
        <v>84</v>
      </c>
      <c r="L119" s="42" t="s">
        <v>781</v>
      </c>
      <c r="M119" s="42" t="s">
        <v>18</v>
      </c>
      <c r="N119" s="45">
        <v>46360.0</v>
      </c>
      <c r="O119" s="42" t="s">
        <v>86</v>
      </c>
      <c r="P119" s="39"/>
      <c r="Q119" s="39"/>
      <c r="R119" s="39"/>
    </row>
    <row r="120" ht="120.0" customHeight="1">
      <c r="A120" s="46" t="s">
        <v>847</v>
      </c>
      <c r="B120" s="47" t="s">
        <v>848</v>
      </c>
      <c r="C120" s="48" t="s">
        <v>831</v>
      </c>
      <c r="D120" s="55" t="s">
        <v>58</v>
      </c>
      <c r="E120" s="48" t="s">
        <v>793</v>
      </c>
      <c r="F120" s="47" t="s">
        <v>849</v>
      </c>
      <c r="G120" s="47" t="s">
        <v>850</v>
      </c>
      <c r="H120" s="47" t="s">
        <v>851</v>
      </c>
      <c r="I120" s="47" t="s">
        <v>852</v>
      </c>
      <c r="J120" s="47" t="s">
        <v>852</v>
      </c>
      <c r="K120" s="44" t="s">
        <v>84</v>
      </c>
      <c r="L120" s="48" t="s">
        <v>781</v>
      </c>
      <c r="M120" s="48" t="s">
        <v>18</v>
      </c>
      <c r="N120" s="50">
        <v>46360.0</v>
      </c>
      <c r="O120" s="48" t="s">
        <v>86</v>
      </c>
      <c r="P120" s="39"/>
      <c r="Q120" s="39"/>
      <c r="R120" s="39"/>
    </row>
    <row r="121" ht="120.0" customHeight="1">
      <c r="A121" s="40" t="s">
        <v>853</v>
      </c>
      <c r="B121" s="41" t="s">
        <v>854</v>
      </c>
      <c r="C121" s="42" t="s">
        <v>831</v>
      </c>
      <c r="D121" s="55" t="s">
        <v>58</v>
      </c>
      <c r="E121" s="42" t="s">
        <v>801</v>
      </c>
      <c r="F121" s="41" t="s">
        <v>855</v>
      </c>
      <c r="G121" s="41" t="s">
        <v>856</v>
      </c>
      <c r="H121" s="41" t="s">
        <v>857</v>
      </c>
      <c r="I121" s="41" t="s">
        <v>858</v>
      </c>
      <c r="J121" s="41" t="s">
        <v>858</v>
      </c>
      <c r="K121" s="44" t="s">
        <v>84</v>
      </c>
      <c r="L121" s="42" t="s">
        <v>781</v>
      </c>
      <c r="M121" s="42" t="s">
        <v>18</v>
      </c>
      <c r="N121" s="45">
        <v>46360.0</v>
      </c>
      <c r="O121" s="42" t="s">
        <v>86</v>
      </c>
      <c r="P121" s="39"/>
      <c r="Q121" s="39"/>
      <c r="R121" s="39"/>
    </row>
    <row r="122" ht="120.0" customHeight="1">
      <c r="A122" s="46" t="s">
        <v>859</v>
      </c>
      <c r="B122" s="47" t="s">
        <v>860</v>
      </c>
      <c r="C122" s="48" t="s">
        <v>861</v>
      </c>
      <c r="D122" s="55" t="s">
        <v>58</v>
      </c>
      <c r="E122" s="48" t="s">
        <v>776</v>
      </c>
      <c r="F122" s="47" t="s">
        <v>862</v>
      </c>
      <c r="G122" s="47" t="s">
        <v>863</v>
      </c>
      <c r="H122" s="47" t="s">
        <v>819</v>
      </c>
      <c r="I122" s="47" t="s">
        <v>864</v>
      </c>
      <c r="J122" s="47" t="s">
        <v>864</v>
      </c>
      <c r="K122" s="44" t="s">
        <v>84</v>
      </c>
      <c r="L122" s="48" t="s">
        <v>781</v>
      </c>
      <c r="M122" s="48" t="s">
        <v>18</v>
      </c>
      <c r="N122" s="50">
        <v>46360.0</v>
      </c>
      <c r="O122" s="48" t="s">
        <v>86</v>
      </c>
      <c r="P122" s="39"/>
      <c r="Q122" s="39"/>
      <c r="R122" s="39"/>
    </row>
    <row r="123" ht="120.0" customHeight="1">
      <c r="A123" s="40" t="s">
        <v>865</v>
      </c>
      <c r="B123" s="41" t="s">
        <v>866</v>
      </c>
      <c r="C123" s="42" t="s">
        <v>861</v>
      </c>
      <c r="D123" s="55" t="s">
        <v>58</v>
      </c>
      <c r="E123" s="42" t="s">
        <v>776</v>
      </c>
      <c r="F123" s="41" t="s">
        <v>867</v>
      </c>
      <c r="G123" s="41" t="s">
        <v>868</v>
      </c>
      <c r="H123" s="41" t="s">
        <v>826</v>
      </c>
      <c r="I123" s="41" t="s">
        <v>869</v>
      </c>
      <c r="J123" s="41" t="s">
        <v>869</v>
      </c>
      <c r="K123" s="44" t="s">
        <v>84</v>
      </c>
      <c r="L123" s="42" t="s">
        <v>781</v>
      </c>
      <c r="M123" s="42" t="s">
        <v>18</v>
      </c>
      <c r="N123" s="45">
        <v>46360.0</v>
      </c>
      <c r="O123" s="42" t="s">
        <v>86</v>
      </c>
      <c r="P123" s="39"/>
      <c r="Q123" s="39"/>
      <c r="R123" s="39"/>
    </row>
    <row r="124" ht="120.0" customHeight="1">
      <c r="A124" s="46" t="s">
        <v>870</v>
      </c>
      <c r="B124" s="47" t="s">
        <v>871</v>
      </c>
      <c r="C124" s="48" t="s">
        <v>872</v>
      </c>
      <c r="D124" s="55" t="s">
        <v>58</v>
      </c>
      <c r="E124" s="48" t="s">
        <v>767</v>
      </c>
      <c r="F124" s="47" t="s">
        <v>768</v>
      </c>
      <c r="G124" s="47" t="s">
        <v>873</v>
      </c>
      <c r="H124" s="47" t="s">
        <v>874</v>
      </c>
      <c r="I124" s="47" t="s">
        <v>875</v>
      </c>
      <c r="J124" s="47" t="s">
        <v>875</v>
      </c>
      <c r="K124" s="44" t="s">
        <v>84</v>
      </c>
      <c r="L124" s="48" t="s">
        <v>781</v>
      </c>
      <c r="M124" s="48" t="s">
        <v>18</v>
      </c>
      <c r="N124" s="50">
        <v>46360.0</v>
      </c>
      <c r="O124" s="48" t="s">
        <v>86</v>
      </c>
      <c r="P124" s="39"/>
      <c r="Q124" s="39"/>
      <c r="R124" s="39"/>
    </row>
    <row r="125" ht="120.0" customHeight="1">
      <c r="A125" s="40" t="s">
        <v>876</v>
      </c>
      <c r="B125" s="41" t="s">
        <v>877</v>
      </c>
      <c r="C125" s="42" t="s">
        <v>878</v>
      </c>
      <c r="D125" s="51" t="s">
        <v>52</v>
      </c>
      <c r="E125" s="42" t="s">
        <v>78</v>
      </c>
      <c r="F125" s="41" t="s">
        <v>879</v>
      </c>
      <c r="G125" s="41" t="s">
        <v>880</v>
      </c>
      <c r="H125" s="41" t="s">
        <v>881</v>
      </c>
      <c r="I125" s="41" t="s">
        <v>882</v>
      </c>
      <c r="J125" s="41" t="s">
        <v>882</v>
      </c>
      <c r="K125" s="44" t="s">
        <v>84</v>
      </c>
      <c r="L125" s="42" t="s">
        <v>155</v>
      </c>
      <c r="M125" s="42" t="s">
        <v>883</v>
      </c>
      <c r="N125" s="45">
        <v>46360.0</v>
      </c>
      <c r="O125" s="42" t="s">
        <v>86</v>
      </c>
      <c r="P125" s="39"/>
      <c r="Q125" s="39"/>
      <c r="R125" s="39"/>
    </row>
    <row r="126" ht="120.0" customHeight="1">
      <c r="A126" s="46" t="s">
        <v>884</v>
      </c>
      <c r="B126" s="47" t="s">
        <v>885</v>
      </c>
      <c r="C126" s="48" t="s">
        <v>878</v>
      </c>
      <c r="D126" s="51" t="s">
        <v>52</v>
      </c>
      <c r="E126" s="48" t="s">
        <v>78</v>
      </c>
      <c r="F126" s="47" t="s">
        <v>886</v>
      </c>
      <c r="G126" s="47" t="s">
        <v>887</v>
      </c>
      <c r="H126" s="47" t="s">
        <v>888</v>
      </c>
      <c r="I126" s="47" t="s">
        <v>889</v>
      </c>
      <c r="J126" s="47" t="s">
        <v>890</v>
      </c>
      <c r="K126" s="44" t="s">
        <v>84</v>
      </c>
      <c r="L126" s="48" t="s">
        <v>155</v>
      </c>
      <c r="M126" s="48" t="s">
        <v>883</v>
      </c>
      <c r="N126" s="50">
        <v>46360.0</v>
      </c>
      <c r="O126" s="48" t="s">
        <v>86</v>
      </c>
      <c r="P126" s="39"/>
      <c r="Q126" s="39"/>
      <c r="R126" s="39"/>
    </row>
    <row r="127" ht="120.0" customHeight="1">
      <c r="A127" s="40" t="s">
        <v>891</v>
      </c>
      <c r="B127" s="41" t="s">
        <v>892</v>
      </c>
      <c r="C127" s="42" t="s">
        <v>878</v>
      </c>
      <c r="D127" s="51" t="s">
        <v>52</v>
      </c>
      <c r="E127" s="42" t="s">
        <v>78</v>
      </c>
      <c r="F127" s="41" t="s">
        <v>893</v>
      </c>
      <c r="G127" s="41" t="s">
        <v>894</v>
      </c>
      <c r="H127" s="41" t="s">
        <v>895</v>
      </c>
      <c r="I127" s="41" t="s">
        <v>896</v>
      </c>
      <c r="J127" s="41" t="s">
        <v>896</v>
      </c>
      <c r="K127" s="44" t="s">
        <v>84</v>
      </c>
      <c r="L127" s="42" t="s">
        <v>155</v>
      </c>
      <c r="M127" s="42" t="s">
        <v>883</v>
      </c>
      <c r="N127" s="45">
        <v>46360.0</v>
      </c>
      <c r="O127" s="42" t="s">
        <v>86</v>
      </c>
      <c r="P127" s="39"/>
      <c r="Q127" s="39"/>
      <c r="R127" s="39"/>
    </row>
    <row r="128" ht="120.0" customHeight="1">
      <c r="A128" s="46" t="s">
        <v>897</v>
      </c>
      <c r="B128" s="47" t="s">
        <v>898</v>
      </c>
      <c r="C128" s="48" t="s">
        <v>878</v>
      </c>
      <c r="D128" s="51" t="s">
        <v>52</v>
      </c>
      <c r="E128" s="48" t="s">
        <v>78</v>
      </c>
      <c r="F128" s="47" t="s">
        <v>899</v>
      </c>
      <c r="G128" s="47" t="s">
        <v>900</v>
      </c>
      <c r="H128" s="47" t="s">
        <v>901</v>
      </c>
      <c r="I128" s="47" t="s">
        <v>902</v>
      </c>
      <c r="J128" s="47" t="s">
        <v>902</v>
      </c>
      <c r="K128" s="44" t="s">
        <v>84</v>
      </c>
      <c r="L128" s="48" t="s">
        <v>155</v>
      </c>
      <c r="M128" s="48" t="s">
        <v>883</v>
      </c>
      <c r="N128" s="50">
        <v>46360.0</v>
      </c>
      <c r="O128" s="48" t="s">
        <v>86</v>
      </c>
      <c r="P128" s="39"/>
      <c r="Q128" s="39"/>
      <c r="R128" s="39"/>
    </row>
    <row r="129" ht="120.0" customHeight="1">
      <c r="A129" s="40" t="s">
        <v>903</v>
      </c>
      <c r="B129" s="41" t="s">
        <v>904</v>
      </c>
      <c r="C129" s="42" t="s">
        <v>878</v>
      </c>
      <c r="D129" s="51" t="s">
        <v>52</v>
      </c>
      <c r="E129" s="42" t="s">
        <v>78</v>
      </c>
      <c r="F129" s="41" t="s">
        <v>905</v>
      </c>
      <c r="G129" s="41" t="s">
        <v>906</v>
      </c>
      <c r="H129" s="41" t="s">
        <v>907</v>
      </c>
      <c r="I129" s="41" t="s">
        <v>908</v>
      </c>
      <c r="J129" s="41" t="s">
        <v>908</v>
      </c>
      <c r="K129" s="44" t="s">
        <v>84</v>
      </c>
      <c r="L129" s="42" t="s">
        <v>155</v>
      </c>
      <c r="M129" s="42" t="s">
        <v>883</v>
      </c>
      <c r="N129" s="45">
        <v>46360.0</v>
      </c>
      <c r="O129" s="42" t="s">
        <v>86</v>
      </c>
      <c r="P129" s="39"/>
      <c r="Q129" s="39"/>
      <c r="R129" s="39"/>
    </row>
    <row r="130" ht="120.0" customHeight="1">
      <c r="A130" s="46" t="s">
        <v>909</v>
      </c>
      <c r="B130" s="47" t="s">
        <v>910</v>
      </c>
      <c r="C130" s="48" t="s">
        <v>878</v>
      </c>
      <c r="D130" s="51" t="s">
        <v>52</v>
      </c>
      <c r="E130" s="48" t="s">
        <v>78</v>
      </c>
      <c r="F130" s="47" t="s">
        <v>886</v>
      </c>
      <c r="G130" s="47" t="s">
        <v>911</v>
      </c>
      <c r="H130" s="47" t="s">
        <v>907</v>
      </c>
      <c r="I130" s="47" t="s">
        <v>912</v>
      </c>
      <c r="J130" s="47" t="s">
        <v>912</v>
      </c>
      <c r="K130" s="44" t="s">
        <v>84</v>
      </c>
      <c r="L130" s="48" t="s">
        <v>155</v>
      </c>
      <c r="M130" s="48" t="s">
        <v>883</v>
      </c>
      <c r="N130" s="50">
        <v>46360.0</v>
      </c>
      <c r="O130" s="48" t="s">
        <v>86</v>
      </c>
      <c r="P130" s="39"/>
      <c r="Q130" s="39"/>
      <c r="R130" s="39"/>
    </row>
    <row r="131" ht="120.0" customHeight="1">
      <c r="A131" s="40" t="s">
        <v>913</v>
      </c>
      <c r="B131" s="41" t="s">
        <v>914</v>
      </c>
      <c r="C131" s="42" t="s">
        <v>878</v>
      </c>
      <c r="D131" s="53" t="s">
        <v>55</v>
      </c>
      <c r="E131" s="42" t="s">
        <v>78</v>
      </c>
      <c r="F131" s="41" t="s">
        <v>915</v>
      </c>
      <c r="G131" s="41" t="s">
        <v>916</v>
      </c>
      <c r="H131" s="41" t="s">
        <v>917</v>
      </c>
      <c r="I131" s="41" t="s">
        <v>918</v>
      </c>
      <c r="J131" s="41" t="s">
        <v>918</v>
      </c>
      <c r="K131" s="44" t="s">
        <v>84</v>
      </c>
      <c r="L131" s="42" t="s">
        <v>538</v>
      </c>
      <c r="M131" s="42" t="s">
        <v>883</v>
      </c>
      <c r="N131" s="45">
        <v>46360.0</v>
      </c>
      <c r="O131" s="42" t="s">
        <v>86</v>
      </c>
      <c r="P131" s="39"/>
      <c r="Q131" s="39"/>
      <c r="R131" s="39"/>
    </row>
    <row r="132" ht="120.0" customHeight="1">
      <c r="A132" s="46" t="s">
        <v>919</v>
      </c>
      <c r="B132" s="47" t="s">
        <v>920</v>
      </c>
      <c r="C132" s="48" t="s">
        <v>878</v>
      </c>
      <c r="D132" s="53" t="s">
        <v>55</v>
      </c>
      <c r="E132" s="48" t="s">
        <v>78</v>
      </c>
      <c r="F132" s="47" t="s">
        <v>921</v>
      </c>
      <c r="G132" s="47" t="s">
        <v>922</v>
      </c>
      <c r="H132" s="47" t="s">
        <v>923</v>
      </c>
      <c r="I132" s="47" t="s">
        <v>924</v>
      </c>
      <c r="J132" s="47" t="s">
        <v>924</v>
      </c>
      <c r="K132" s="44" t="s">
        <v>84</v>
      </c>
      <c r="L132" s="48" t="s">
        <v>538</v>
      </c>
      <c r="M132" s="48" t="s">
        <v>883</v>
      </c>
      <c r="N132" s="50">
        <v>46360.0</v>
      </c>
      <c r="O132" s="48" t="s">
        <v>86</v>
      </c>
      <c r="P132" s="39"/>
      <c r="Q132" s="39"/>
      <c r="R132" s="39"/>
    </row>
    <row r="133" ht="120.0" customHeight="1">
      <c r="A133" s="40" t="s">
        <v>925</v>
      </c>
      <c r="B133" s="41" t="s">
        <v>926</v>
      </c>
      <c r="C133" s="42" t="s">
        <v>878</v>
      </c>
      <c r="D133" s="53" t="s">
        <v>55</v>
      </c>
      <c r="E133" s="42" t="s">
        <v>78</v>
      </c>
      <c r="F133" s="41" t="s">
        <v>886</v>
      </c>
      <c r="G133" s="41" t="s">
        <v>927</v>
      </c>
      <c r="H133" s="41" t="s">
        <v>907</v>
      </c>
      <c r="I133" s="41" t="s">
        <v>928</v>
      </c>
      <c r="J133" s="41" t="s">
        <v>928</v>
      </c>
      <c r="K133" s="44" t="s">
        <v>84</v>
      </c>
      <c r="L133" s="42" t="s">
        <v>538</v>
      </c>
      <c r="M133" s="42" t="s">
        <v>883</v>
      </c>
      <c r="N133" s="45">
        <v>46360.0</v>
      </c>
      <c r="O133" s="42" t="s">
        <v>86</v>
      </c>
      <c r="P133" s="39"/>
      <c r="Q133" s="39"/>
      <c r="R133" s="39"/>
    </row>
    <row r="134" ht="120.0" customHeight="1">
      <c r="A134" s="46" t="s">
        <v>929</v>
      </c>
      <c r="B134" s="47" t="s">
        <v>930</v>
      </c>
      <c r="C134" s="48" t="s">
        <v>878</v>
      </c>
      <c r="D134" s="53" t="s">
        <v>55</v>
      </c>
      <c r="E134" s="48" t="s">
        <v>78</v>
      </c>
      <c r="F134" s="47" t="s">
        <v>931</v>
      </c>
      <c r="G134" s="47" t="s">
        <v>932</v>
      </c>
      <c r="H134" s="47" t="s">
        <v>933</v>
      </c>
      <c r="I134" s="47" t="s">
        <v>934</v>
      </c>
      <c r="J134" s="47" t="s">
        <v>934</v>
      </c>
      <c r="K134" s="44" t="s">
        <v>84</v>
      </c>
      <c r="L134" s="48" t="s">
        <v>538</v>
      </c>
      <c r="M134" s="48" t="s">
        <v>883</v>
      </c>
      <c r="N134" s="50">
        <v>46360.0</v>
      </c>
      <c r="O134" s="48" t="s">
        <v>86</v>
      </c>
      <c r="P134" s="39"/>
      <c r="Q134" s="39"/>
      <c r="R134" s="39"/>
    </row>
    <row r="135" ht="120.0" customHeight="1">
      <c r="A135" s="40" t="s">
        <v>935</v>
      </c>
      <c r="B135" s="41" t="s">
        <v>936</v>
      </c>
      <c r="C135" s="42" t="s">
        <v>878</v>
      </c>
      <c r="D135" s="53" t="s">
        <v>55</v>
      </c>
      <c r="E135" s="42" t="s">
        <v>78</v>
      </c>
      <c r="F135" s="41" t="s">
        <v>937</v>
      </c>
      <c r="G135" s="41" t="s">
        <v>938</v>
      </c>
      <c r="H135" s="41" t="s">
        <v>939</v>
      </c>
      <c r="I135" s="41" t="s">
        <v>940</v>
      </c>
      <c r="J135" s="41" t="s">
        <v>940</v>
      </c>
      <c r="K135" s="44" t="s">
        <v>84</v>
      </c>
      <c r="L135" s="42" t="s">
        <v>538</v>
      </c>
      <c r="M135" s="42" t="s">
        <v>883</v>
      </c>
      <c r="N135" s="45">
        <v>46360.0</v>
      </c>
      <c r="O135" s="42" t="s">
        <v>86</v>
      </c>
      <c r="P135" s="39"/>
      <c r="Q135" s="39"/>
      <c r="R135" s="39"/>
    </row>
    <row r="136" ht="120.0" customHeight="1">
      <c r="A136" s="46" t="s">
        <v>941</v>
      </c>
      <c r="B136" s="47" t="s">
        <v>942</v>
      </c>
      <c r="C136" s="48" t="s">
        <v>878</v>
      </c>
      <c r="D136" s="53" t="s">
        <v>55</v>
      </c>
      <c r="E136" s="48" t="s">
        <v>78</v>
      </c>
      <c r="F136" s="47" t="s">
        <v>886</v>
      </c>
      <c r="G136" s="47" t="s">
        <v>943</v>
      </c>
      <c r="H136" s="47" t="s">
        <v>944</v>
      </c>
      <c r="I136" s="47" t="s">
        <v>945</v>
      </c>
      <c r="J136" s="47" t="s">
        <v>945</v>
      </c>
      <c r="K136" s="44" t="s">
        <v>84</v>
      </c>
      <c r="L136" s="48" t="s">
        <v>538</v>
      </c>
      <c r="M136" s="48" t="s">
        <v>883</v>
      </c>
      <c r="N136" s="50">
        <v>46360.0</v>
      </c>
      <c r="O136" s="48" t="s">
        <v>86</v>
      </c>
      <c r="P136" s="39"/>
      <c r="Q136" s="39"/>
      <c r="R136" s="39"/>
    </row>
    <row r="137" ht="120.0" customHeight="1">
      <c r="A137" s="40" t="s">
        <v>946</v>
      </c>
      <c r="B137" s="41" t="s">
        <v>947</v>
      </c>
      <c r="C137" s="42" t="s">
        <v>948</v>
      </c>
      <c r="D137" s="53" t="s">
        <v>55</v>
      </c>
      <c r="E137" s="42" t="s">
        <v>949</v>
      </c>
      <c r="F137" s="41" t="s">
        <v>886</v>
      </c>
      <c r="G137" s="41" t="s">
        <v>950</v>
      </c>
      <c r="H137" s="41" t="s">
        <v>944</v>
      </c>
      <c r="I137" s="41" t="s">
        <v>951</v>
      </c>
      <c r="J137" s="41" t="s">
        <v>951</v>
      </c>
      <c r="K137" s="44" t="s">
        <v>84</v>
      </c>
      <c r="L137" s="42" t="s">
        <v>538</v>
      </c>
      <c r="M137" s="42" t="s">
        <v>883</v>
      </c>
      <c r="N137" s="45">
        <v>46360.0</v>
      </c>
      <c r="O137" s="42" t="s">
        <v>86</v>
      </c>
      <c r="P137" s="39"/>
      <c r="Q137" s="39"/>
      <c r="R137" s="39"/>
    </row>
    <row r="138" ht="120.0" customHeight="1">
      <c r="A138" s="46" t="s">
        <v>952</v>
      </c>
      <c r="B138" s="47" t="s">
        <v>953</v>
      </c>
      <c r="C138" s="48" t="s">
        <v>948</v>
      </c>
      <c r="D138" s="53" t="s">
        <v>55</v>
      </c>
      <c r="E138" s="48" t="s">
        <v>949</v>
      </c>
      <c r="F138" s="47" t="s">
        <v>886</v>
      </c>
      <c r="G138" s="47" t="s">
        <v>954</v>
      </c>
      <c r="H138" s="47" t="s">
        <v>944</v>
      </c>
      <c r="I138" s="47" t="s">
        <v>955</v>
      </c>
      <c r="J138" s="47" t="s">
        <v>956</v>
      </c>
      <c r="K138" s="49" t="s">
        <v>96</v>
      </c>
      <c r="L138" s="48" t="s">
        <v>538</v>
      </c>
      <c r="M138" s="48" t="s">
        <v>883</v>
      </c>
      <c r="N138" s="50">
        <v>46360.0</v>
      </c>
      <c r="O138" s="48" t="s">
        <v>957</v>
      </c>
      <c r="P138" s="39"/>
      <c r="Q138" s="39"/>
      <c r="R138" s="39"/>
    </row>
    <row r="139" ht="120.0" customHeight="1">
      <c r="A139" s="40" t="s">
        <v>958</v>
      </c>
      <c r="B139" s="41" t="s">
        <v>959</v>
      </c>
      <c r="C139" s="42" t="s">
        <v>960</v>
      </c>
      <c r="D139" s="53" t="s">
        <v>55</v>
      </c>
      <c r="E139" s="42" t="s">
        <v>801</v>
      </c>
      <c r="F139" s="41" t="s">
        <v>886</v>
      </c>
      <c r="G139" s="41" t="s">
        <v>961</v>
      </c>
      <c r="H139" s="41" t="s">
        <v>962</v>
      </c>
      <c r="I139" s="41" t="s">
        <v>963</v>
      </c>
      <c r="J139" s="41" t="s">
        <v>964</v>
      </c>
      <c r="K139" s="49" t="s">
        <v>96</v>
      </c>
      <c r="L139" s="42" t="s">
        <v>538</v>
      </c>
      <c r="M139" s="42" t="s">
        <v>883</v>
      </c>
      <c r="N139" s="45">
        <v>46360.0</v>
      </c>
      <c r="O139" s="42" t="s">
        <v>965</v>
      </c>
      <c r="P139" s="39"/>
      <c r="Q139" s="39"/>
      <c r="R139" s="39"/>
    </row>
    <row r="140" ht="120.0" customHeight="1">
      <c r="A140" s="46" t="s">
        <v>966</v>
      </c>
      <c r="B140" s="47" t="s">
        <v>967</v>
      </c>
      <c r="C140" s="48" t="s">
        <v>968</v>
      </c>
      <c r="D140" s="53" t="s">
        <v>55</v>
      </c>
      <c r="E140" s="48" t="s">
        <v>969</v>
      </c>
      <c r="F140" s="47" t="s">
        <v>886</v>
      </c>
      <c r="G140" s="47" t="s">
        <v>970</v>
      </c>
      <c r="H140" s="47" t="s">
        <v>971</v>
      </c>
      <c r="I140" s="47" t="s">
        <v>972</v>
      </c>
      <c r="J140" s="47" t="s">
        <v>972</v>
      </c>
      <c r="K140" s="44" t="s">
        <v>84</v>
      </c>
      <c r="L140" s="48" t="s">
        <v>538</v>
      </c>
      <c r="M140" s="48" t="s">
        <v>883</v>
      </c>
      <c r="N140" s="50">
        <v>46360.0</v>
      </c>
      <c r="O140" s="48" t="s">
        <v>86</v>
      </c>
      <c r="P140" s="39"/>
      <c r="Q140" s="39"/>
      <c r="R140" s="39"/>
    </row>
    <row r="141" ht="120.0" customHeight="1">
      <c r="A141" s="40" t="s">
        <v>973</v>
      </c>
      <c r="B141" s="41" t="s">
        <v>974</v>
      </c>
      <c r="C141" s="42" t="s">
        <v>968</v>
      </c>
      <c r="D141" s="53" t="s">
        <v>55</v>
      </c>
      <c r="E141" s="42" t="s">
        <v>969</v>
      </c>
      <c r="F141" s="41" t="s">
        <v>886</v>
      </c>
      <c r="G141" s="41" t="s">
        <v>975</v>
      </c>
      <c r="H141" s="41" t="s">
        <v>976</v>
      </c>
      <c r="I141" s="41" t="s">
        <v>977</v>
      </c>
      <c r="J141" s="41" t="s">
        <v>977</v>
      </c>
      <c r="K141" s="44" t="s">
        <v>84</v>
      </c>
      <c r="L141" s="42" t="s">
        <v>538</v>
      </c>
      <c r="M141" s="42" t="s">
        <v>883</v>
      </c>
      <c r="N141" s="45">
        <v>46360.0</v>
      </c>
      <c r="O141" s="42" t="s">
        <v>86</v>
      </c>
      <c r="P141" s="39"/>
      <c r="Q141" s="39"/>
      <c r="R141" s="39"/>
    </row>
    <row r="142" ht="120.0" customHeight="1">
      <c r="A142" s="46" t="s">
        <v>978</v>
      </c>
      <c r="B142" s="47" t="s">
        <v>979</v>
      </c>
      <c r="C142" s="48" t="s">
        <v>968</v>
      </c>
      <c r="D142" s="53" t="s">
        <v>55</v>
      </c>
      <c r="E142" s="48" t="s">
        <v>969</v>
      </c>
      <c r="F142" s="47" t="s">
        <v>886</v>
      </c>
      <c r="G142" s="47" t="s">
        <v>980</v>
      </c>
      <c r="H142" s="47" t="s">
        <v>981</v>
      </c>
      <c r="I142" s="47" t="s">
        <v>982</v>
      </c>
      <c r="J142" s="47" t="s">
        <v>977</v>
      </c>
      <c r="K142" s="49" t="s">
        <v>96</v>
      </c>
      <c r="L142" s="48" t="s">
        <v>538</v>
      </c>
      <c r="M142" s="48" t="s">
        <v>883</v>
      </c>
      <c r="N142" s="50">
        <v>46360.0</v>
      </c>
      <c r="O142" s="48" t="s">
        <v>983</v>
      </c>
      <c r="P142" s="39"/>
      <c r="Q142" s="39"/>
      <c r="R142" s="39"/>
    </row>
    <row r="143" ht="120.0" customHeight="1">
      <c r="A143" s="40" t="s">
        <v>984</v>
      </c>
      <c r="B143" s="41" t="s">
        <v>985</v>
      </c>
      <c r="C143" s="42" t="s">
        <v>986</v>
      </c>
      <c r="D143" s="53" t="s">
        <v>55</v>
      </c>
      <c r="E143" s="42" t="s">
        <v>987</v>
      </c>
      <c r="F143" s="41" t="s">
        <v>988</v>
      </c>
      <c r="G143" s="41" t="s">
        <v>989</v>
      </c>
      <c r="H143" s="41" t="s">
        <v>990</v>
      </c>
      <c r="I143" s="41" t="s">
        <v>991</v>
      </c>
      <c r="J143" s="41" t="s">
        <v>991</v>
      </c>
      <c r="K143" s="44" t="s">
        <v>84</v>
      </c>
      <c r="L143" s="42" t="s">
        <v>538</v>
      </c>
      <c r="M143" s="42" t="s">
        <v>883</v>
      </c>
      <c r="N143" s="45">
        <v>46360.0</v>
      </c>
      <c r="O143" s="42" t="s">
        <v>86</v>
      </c>
      <c r="P143" s="39"/>
      <c r="Q143" s="39"/>
      <c r="R143" s="39"/>
    </row>
    <row r="144" ht="120.0" customHeight="1">
      <c r="A144" s="46" t="s">
        <v>992</v>
      </c>
      <c r="B144" s="47" t="s">
        <v>993</v>
      </c>
      <c r="C144" s="48" t="s">
        <v>986</v>
      </c>
      <c r="D144" s="53" t="s">
        <v>55</v>
      </c>
      <c r="E144" s="48" t="s">
        <v>987</v>
      </c>
      <c r="F144" s="47" t="s">
        <v>988</v>
      </c>
      <c r="G144" s="47" t="s">
        <v>994</v>
      </c>
      <c r="H144" s="47" t="s">
        <v>995</v>
      </c>
      <c r="I144" s="47" t="s">
        <v>996</v>
      </c>
      <c r="J144" s="47" t="s">
        <v>996</v>
      </c>
      <c r="K144" s="44" t="s">
        <v>84</v>
      </c>
      <c r="L144" s="48" t="s">
        <v>538</v>
      </c>
      <c r="M144" s="48" t="s">
        <v>883</v>
      </c>
      <c r="N144" s="50">
        <v>46360.0</v>
      </c>
      <c r="O144" s="48" t="s">
        <v>86</v>
      </c>
      <c r="P144" s="39"/>
      <c r="Q144" s="39"/>
      <c r="R144" s="39"/>
    </row>
    <row r="145" ht="120.0" customHeight="1">
      <c r="A145" s="40" t="s">
        <v>997</v>
      </c>
      <c r="B145" s="41" t="s">
        <v>998</v>
      </c>
      <c r="C145" s="42" t="s">
        <v>986</v>
      </c>
      <c r="D145" s="53" t="s">
        <v>55</v>
      </c>
      <c r="E145" s="42" t="s">
        <v>987</v>
      </c>
      <c r="F145" s="41" t="s">
        <v>999</v>
      </c>
      <c r="G145" s="41" t="s">
        <v>1000</v>
      </c>
      <c r="H145" s="41" t="s">
        <v>1001</v>
      </c>
      <c r="I145" s="41" t="s">
        <v>1002</v>
      </c>
      <c r="J145" s="41" t="s">
        <v>1002</v>
      </c>
      <c r="K145" s="44" t="s">
        <v>84</v>
      </c>
      <c r="L145" s="42" t="s">
        <v>538</v>
      </c>
      <c r="M145" s="42" t="s">
        <v>883</v>
      </c>
      <c r="N145" s="45">
        <v>46360.0</v>
      </c>
      <c r="O145" s="42" t="s">
        <v>86</v>
      </c>
      <c r="P145" s="39"/>
      <c r="Q145" s="39"/>
      <c r="R145" s="39"/>
    </row>
    <row r="146" ht="120.0" customHeight="1">
      <c r="A146" s="46" t="s">
        <v>1003</v>
      </c>
      <c r="B146" s="47" t="s">
        <v>1004</v>
      </c>
      <c r="C146" s="48" t="s">
        <v>986</v>
      </c>
      <c r="D146" s="53" t="s">
        <v>55</v>
      </c>
      <c r="E146" s="48" t="s">
        <v>987</v>
      </c>
      <c r="F146" s="47" t="s">
        <v>886</v>
      </c>
      <c r="G146" s="47" t="s">
        <v>1005</v>
      </c>
      <c r="H146" s="47" t="s">
        <v>1006</v>
      </c>
      <c r="I146" s="47" t="s">
        <v>1007</v>
      </c>
      <c r="J146" s="47" t="s">
        <v>1007</v>
      </c>
      <c r="K146" s="44" t="s">
        <v>84</v>
      </c>
      <c r="L146" s="48" t="s">
        <v>538</v>
      </c>
      <c r="M146" s="48" t="s">
        <v>883</v>
      </c>
      <c r="N146" s="50">
        <v>46360.0</v>
      </c>
      <c r="O146" s="48" t="s">
        <v>86</v>
      </c>
      <c r="P146" s="39"/>
      <c r="Q146" s="39"/>
      <c r="R146" s="39"/>
    </row>
    <row r="147" ht="120.0" customHeight="1">
      <c r="A147" s="40" t="s">
        <v>1008</v>
      </c>
      <c r="B147" s="41" t="s">
        <v>1009</v>
      </c>
      <c r="C147" s="42" t="s">
        <v>986</v>
      </c>
      <c r="D147" s="53" t="s">
        <v>55</v>
      </c>
      <c r="E147" s="42" t="s">
        <v>987</v>
      </c>
      <c r="F147" s="41" t="s">
        <v>988</v>
      </c>
      <c r="G147" s="41" t="s">
        <v>1010</v>
      </c>
      <c r="H147" s="41" t="s">
        <v>1011</v>
      </c>
      <c r="I147" s="41" t="s">
        <v>1012</v>
      </c>
      <c r="J147" s="41" t="s">
        <v>1012</v>
      </c>
      <c r="K147" s="44" t="s">
        <v>84</v>
      </c>
      <c r="L147" s="42" t="s">
        <v>538</v>
      </c>
      <c r="M147" s="42" t="s">
        <v>883</v>
      </c>
      <c r="N147" s="45">
        <v>46360.0</v>
      </c>
      <c r="O147" s="42" t="s">
        <v>86</v>
      </c>
      <c r="P147" s="39"/>
      <c r="Q147" s="39"/>
      <c r="R147" s="39"/>
    </row>
    <row r="148" ht="120.0" customHeight="1">
      <c r="A148" s="46" t="s">
        <v>1013</v>
      </c>
      <c r="B148" s="47" t="s">
        <v>1014</v>
      </c>
      <c r="C148" s="48" t="s">
        <v>986</v>
      </c>
      <c r="D148" s="53" t="s">
        <v>55</v>
      </c>
      <c r="E148" s="48" t="s">
        <v>987</v>
      </c>
      <c r="F148" s="47" t="s">
        <v>1015</v>
      </c>
      <c r="G148" s="47" t="s">
        <v>1016</v>
      </c>
      <c r="H148" s="47" t="s">
        <v>1017</v>
      </c>
      <c r="I148" s="47" t="s">
        <v>1018</v>
      </c>
      <c r="J148" s="47" t="s">
        <v>1019</v>
      </c>
      <c r="K148" s="49" t="s">
        <v>96</v>
      </c>
      <c r="L148" s="48" t="s">
        <v>538</v>
      </c>
      <c r="M148" s="48" t="s">
        <v>883</v>
      </c>
      <c r="N148" s="50">
        <v>46360.0</v>
      </c>
      <c r="O148" s="48" t="s">
        <v>1020</v>
      </c>
      <c r="P148" s="39"/>
      <c r="Q148" s="39"/>
      <c r="R148" s="39"/>
    </row>
    <row r="149" ht="120.0" customHeight="1">
      <c r="A149" s="40" t="s">
        <v>1021</v>
      </c>
      <c r="B149" s="41" t="s">
        <v>1022</v>
      </c>
      <c r="C149" s="42" t="s">
        <v>1023</v>
      </c>
      <c r="D149" s="53" t="s">
        <v>55</v>
      </c>
      <c r="E149" s="42" t="s">
        <v>1024</v>
      </c>
      <c r="F149" s="41" t="s">
        <v>886</v>
      </c>
      <c r="G149" s="41" t="s">
        <v>1025</v>
      </c>
      <c r="H149" s="41" t="s">
        <v>1026</v>
      </c>
      <c r="I149" s="41" t="s">
        <v>1027</v>
      </c>
      <c r="J149" s="41" t="s">
        <v>1028</v>
      </c>
      <c r="K149" s="49" t="s">
        <v>96</v>
      </c>
      <c r="L149" s="42" t="s">
        <v>538</v>
      </c>
      <c r="M149" s="42" t="s">
        <v>883</v>
      </c>
      <c r="N149" s="45">
        <v>46360.0</v>
      </c>
      <c r="O149" s="42" t="s">
        <v>1029</v>
      </c>
      <c r="P149" s="39"/>
      <c r="Q149" s="39"/>
      <c r="R149" s="39"/>
    </row>
    <row r="150" ht="120.0" customHeight="1">
      <c r="A150" s="46" t="s">
        <v>1030</v>
      </c>
      <c r="B150" s="47" t="s">
        <v>1031</v>
      </c>
      <c r="C150" s="48" t="s">
        <v>1023</v>
      </c>
      <c r="D150" s="53" t="s">
        <v>55</v>
      </c>
      <c r="E150" s="48" t="s">
        <v>1024</v>
      </c>
      <c r="F150" s="47" t="s">
        <v>886</v>
      </c>
      <c r="G150" s="47" t="s">
        <v>1032</v>
      </c>
      <c r="H150" s="47" t="s">
        <v>1033</v>
      </c>
      <c r="I150" s="47" t="s">
        <v>1034</v>
      </c>
      <c r="J150" s="47" t="s">
        <v>1035</v>
      </c>
      <c r="K150" s="44" t="s">
        <v>84</v>
      </c>
      <c r="L150" s="48" t="s">
        <v>538</v>
      </c>
      <c r="M150" s="48" t="s">
        <v>883</v>
      </c>
      <c r="N150" s="50">
        <v>46360.0</v>
      </c>
      <c r="O150" s="48" t="s">
        <v>86</v>
      </c>
      <c r="P150" s="39"/>
      <c r="Q150" s="39"/>
      <c r="R150" s="39"/>
    </row>
    <row r="151" ht="120.0" customHeight="1">
      <c r="A151" s="40" t="s">
        <v>1036</v>
      </c>
      <c r="B151" s="41" t="s">
        <v>1037</v>
      </c>
      <c r="C151" s="42" t="s">
        <v>878</v>
      </c>
      <c r="D151" s="53" t="s">
        <v>55</v>
      </c>
      <c r="E151" s="42" t="s">
        <v>78</v>
      </c>
      <c r="F151" s="41" t="s">
        <v>886</v>
      </c>
      <c r="G151" s="41" t="s">
        <v>1038</v>
      </c>
      <c r="H151" s="41" t="s">
        <v>944</v>
      </c>
      <c r="I151" s="41" t="s">
        <v>1039</v>
      </c>
      <c r="J151" s="41" t="s">
        <v>1039</v>
      </c>
      <c r="K151" s="44" t="s">
        <v>84</v>
      </c>
      <c r="L151" s="42" t="s">
        <v>538</v>
      </c>
      <c r="M151" s="42" t="s">
        <v>883</v>
      </c>
      <c r="N151" s="45">
        <v>46360.0</v>
      </c>
      <c r="O151" s="42" t="s">
        <v>86</v>
      </c>
      <c r="P151" s="39"/>
      <c r="Q151" s="39"/>
      <c r="R151" s="39"/>
    </row>
    <row r="152" ht="120.0" customHeight="1">
      <c r="A152" s="46" t="s">
        <v>1040</v>
      </c>
      <c r="B152" s="47" t="s">
        <v>1041</v>
      </c>
      <c r="C152" s="48" t="s">
        <v>948</v>
      </c>
      <c r="D152" s="55" t="s">
        <v>58</v>
      </c>
      <c r="E152" s="48" t="s">
        <v>949</v>
      </c>
      <c r="F152" s="47" t="s">
        <v>886</v>
      </c>
      <c r="G152" s="47" t="s">
        <v>1042</v>
      </c>
      <c r="H152" s="47" t="s">
        <v>944</v>
      </c>
      <c r="I152" s="47" t="s">
        <v>1043</v>
      </c>
      <c r="J152" s="47" t="s">
        <v>1043</v>
      </c>
      <c r="K152" s="44" t="s">
        <v>84</v>
      </c>
      <c r="L152" s="48" t="s">
        <v>781</v>
      </c>
      <c r="M152" s="48" t="s">
        <v>883</v>
      </c>
      <c r="N152" s="50">
        <v>46360.0</v>
      </c>
      <c r="O152" s="48" t="s">
        <v>86</v>
      </c>
      <c r="P152" s="39"/>
      <c r="Q152" s="39"/>
      <c r="R152" s="39"/>
    </row>
    <row r="153" ht="120.0" customHeight="1">
      <c r="A153" s="40" t="s">
        <v>1044</v>
      </c>
      <c r="B153" s="41" t="s">
        <v>1045</v>
      </c>
      <c r="C153" s="42" t="s">
        <v>948</v>
      </c>
      <c r="D153" s="55" t="s">
        <v>58</v>
      </c>
      <c r="E153" s="42" t="s">
        <v>949</v>
      </c>
      <c r="F153" s="41" t="s">
        <v>886</v>
      </c>
      <c r="G153" s="41" t="s">
        <v>1046</v>
      </c>
      <c r="H153" s="41" t="s">
        <v>944</v>
      </c>
      <c r="I153" s="41" t="s">
        <v>1047</v>
      </c>
      <c r="J153" s="41" t="s">
        <v>1047</v>
      </c>
      <c r="K153" s="44" t="s">
        <v>84</v>
      </c>
      <c r="L153" s="42" t="s">
        <v>781</v>
      </c>
      <c r="M153" s="42" t="s">
        <v>883</v>
      </c>
      <c r="N153" s="45">
        <v>46360.0</v>
      </c>
      <c r="O153" s="42" t="s">
        <v>86</v>
      </c>
      <c r="P153" s="39"/>
      <c r="Q153" s="39"/>
      <c r="R153" s="39"/>
    </row>
    <row r="154" ht="120.0" customHeight="1">
      <c r="A154" s="46" t="s">
        <v>1048</v>
      </c>
      <c r="B154" s="47" t="s">
        <v>1049</v>
      </c>
      <c r="C154" s="48" t="s">
        <v>948</v>
      </c>
      <c r="D154" s="55" t="s">
        <v>58</v>
      </c>
      <c r="E154" s="48" t="s">
        <v>949</v>
      </c>
      <c r="F154" s="47" t="s">
        <v>886</v>
      </c>
      <c r="G154" s="47" t="s">
        <v>1050</v>
      </c>
      <c r="H154" s="47" t="s">
        <v>944</v>
      </c>
      <c r="I154" s="47" t="s">
        <v>1051</v>
      </c>
      <c r="J154" s="47" t="s">
        <v>1051</v>
      </c>
      <c r="K154" s="44" t="s">
        <v>84</v>
      </c>
      <c r="L154" s="48" t="s">
        <v>781</v>
      </c>
      <c r="M154" s="48" t="s">
        <v>883</v>
      </c>
      <c r="N154" s="50">
        <v>46360.0</v>
      </c>
      <c r="O154" s="48" t="s">
        <v>86</v>
      </c>
      <c r="P154" s="39"/>
      <c r="Q154" s="39"/>
      <c r="R154" s="39"/>
    </row>
    <row r="155" ht="120.0" customHeight="1">
      <c r="A155" s="40" t="s">
        <v>1052</v>
      </c>
      <c r="B155" s="41" t="s">
        <v>1053</v>
      </c>
      <c r="C155" s="42" t="s">
        <v>948</v>
      </c>
      <c r="D155" s="55" t="s">
        <v>58</v>
      </c>
      <c r="E155" s="42" t="s">
        <v>949</v>
      </c>
      <c r="F155" s="41" t="s">
        <v>886</v>
      </c>
      <c r="G155" s="41" t="s">
        <v>1054</v>
      </c>
      <c r="H155" s="41" t="s">
        <v>944</v>
      </c>
      <c r="I155" s="41" t="s">
        <v>1055</v>
      </c>
      <c r="J155" s="41" t="s">
        <v>1055</v>
      </c>
      <c r="K155" s="44" t="s">
        <v>84</v>
      </c>
      <c r="L155" s="42" t="s">
        <v>781</v>
      </c>
      <c r="M155" s="42" t="s">
        <v>883</v>
      </c>
      <c r="N155" s="45">
        <v>46360.0</v>
      </c>
      <c r="O155" s="42" t="s">
        <v>86</v>
      </c>
      <c r="P155" s="39"/>
      <c r="Q155" s="39"/>
      <c r="R155" s="39"/>
    </row>
    <row r="156" ht="120.0" customHeight="1">
      <c r="A156" s="46" t="s">
        <v>1056</v>
      </c>
      <c r="B156" s="47" t="s">
        <v>1057</v>
      </c>
      <c r="C156" s="48" t="s">
        <v>960</v>
      </c>
      <c r="D156" s="55" t="s">
        <v>58</v>
      </c>
      <c r="E156" s="48" t="s">
        <v>801</v>
      </c>
      <c r="F156" s="47" t="s">
        <v>886</v>
      </c>
      <c r="G156" s="47" t="s">
        <v>1058</v>
      </c>
      <c r="H156" s="47" t="s">
        <v>944</v>
      </c>
      <c r="I156" s="47" t="s">
        <v>1059</v>
      </c>
      <c r="J156" s="47" t="s">
        <v>1059</v>
      </c>
      <c r="K156" s="44" t="s">
        <v>84</v>
      </c>
      <c r="L156" s="48" t="s">
        <v>781</v>
      </c>
      <c r="M156" s="48" t="s">
        <v>883</v>
      </c>
      <c r="N156" s="50">
        <v>46360.0</v>
      </c>
      <c r="O156" s="48" t="s">
        <v>86</v>
      </c>
      <c r="P156" s="39"/>
      <c r="Q156" s="39"/>
      <c r="R156" s="39"/>
    </row>
    <row r="157" ht="120.0" customHeight="1">
      <c r="A157" s="40" t="s">
        <v>1060</v>
      </c>
      <c r="B157" s="41" t="s">
        <v>1061</v>
      </c>
      <c r="C157" s="42" t="s">
        <v>960</v>
      </c>
      <c r="D157" s="55" t="s">
        <v>58</v>
      </c>
      <c r="E157" s="42" t="s">
        <v>801</v>
      </c>
      <c r="F157" s="41" t="s">
        <v>886</v>
      </c>
      <c r="G157" s="41" t="s">
        <v>1062</v>
      </c>
      <c r="H157" s="41" t="s">
        <v>944</v>
      </c>
      <c r="I157" s="41" t="s">
        <v>1063</v>
      </c>
      <c r="J157" s="41" t="s">
        <v>1063</v>
      </c>
      <c r="K157" s="44" t="s">
        <v>84</v>
      </c>
      <c r="L157" s="42" t="s">
        <v>781</v>
      </c>
      <c r="M157" s="42" t="s">
        <v>883</v>
      </c>
      <c r="N157" s="45">
        <v>46360.0</v>
      </c>
      <c r="O157" s="42" t="s">
        <v>86</v>
      </c>
      <c r="P157" s="39"/>
      <c r="Q157" s="39"/>
      <c r="R157" s="39"/>
    </row>
    <row r="158" ht="120.0" customHeight="1">
      <c r="A158" s="46" t="s">
        <v>1064</v>
      </c>
      <c r="B158" s="47" t="s">
        <v>1065</v>
      </c>
      <c r="C158" s="48" t="s">
        <v>960</v>
      </c>
      <c r="D158" s="55" t="s">
        <v>58</v>
      </c>
      <c r="E158" s="48" t="s">
        <v>801</v>
      </c>
      <c r="F158" s="47" t="s">
        <v>886</v>
      </c>
      <c r="G158" s="47" t="s">
        <v>1066</v>
      </c>
      <c r="H158" s="47" t="s">
        <v>944</v>
      </c>
      <c r="I158" s="47" t="s">
        <v>1067</v>
      </c>
      <c r="J158" s="47" t="s">
        <v>1067</v>
      </c>
      <c r="K158" s="44" t="s">
        <v>84</v>
      </c>
      <c r="L158" s="48" t="s">
        <v>781</v>
      </c>
      <c r="M158" s="48" t="s">
        <v>883</v>
      </c>
      <c r="N158" s="50">
        <v>46360.0</v>
      </c>
      <c r="O158" s="48" t="s">
        <v>86</v>
      </c>
      <c r="P158" s="39"/>
      <c r="Q158" s="39"/>
      <c r="R158" s="39"/>
    </row>
    <row r="159" ht="120.0" customHeight="1">
      <c r="A159" s="40" t="s">
        <v>1068</v>
      </c>
      <c r="B159" s="41" t="s">
        <v>1069</v>
      </c>
      <c r="C159" s="42" t="s">
        <v>968</v>
      </c>
      <c r="D159" s="55" t="s">
        <v>58</v>
      </c>
      <c r="E159" s="42" t="s">
        <v>969</v>
      </c>
      <c r="F159" s="41" t="s">
        <v>886</v>
      </c>
      <c r="G159" s="41" t="s">
        <v>1070</v>
      </c>
      <c r="H159" s="41" t="s">
        <v>1071</v>
      </c>
      <c r="I159" s="41" t="s">
        <v>1072</v>
      </c>
      <c r="J159" s="41" t="s">
        <v>1072</v>
      </c>
      <c r="K159" s="44" t="s">
        <v>84</v>
      </c>
      <c r="L159" s="42" t="s">
        <v>781</v>
      </c>
      <c r="M159" s="42" t="s">
        <v>883</v>
      </c>
      <c r="N159" s="45">
        <v>46360.0</v>
      </c>
      <c r="O159" s="42" t="s">
        <v>86</v>
      </c>
      <c r="P159" s="39"/>
      <c r="Q159" s="39"/>
      <c r="R159" s="39"/>
    </row>
    <row r="160" ht="120.0" customHeight="1">
      <c r="A160" s="46" t="s">
        <v>1073</v>
      </c>
      <c r="B160" s="47" t="s">
        <v>1074</v>
      </c>
      <c r="C160" s="48" t="s">
        <v>986</v>
      </c>
      <c r="D160" s="55" t="s">
        <v>58</v>
      </c>
      <c r="E160" s="48" t="s">
        <v>987</v>
      </c>
      <c r="F160" s="47" t="s">
        <v>1075</v>
      </c>
      <c r="G160" s="47" t="s">
        <v>1076</v>
      </c>
      <c r="H160" s="47" t="s">
        <v>1077</v>
      </c>
      <c r="I160" s="47" t="s">
        <v>1078</v>
      </c>
      <c r="J160" s="47" t="s">
        <v>1078</v>
      </c>
      <c r="K160" s="44" t="s">
        <v>84</v>
      </c>
      <c r="L160" s="48" t="s">
        <v>781</v>
      </c>
      <c r="M160" s="48" t="s">
        <v>883</v>
      </c>
      <c r="N160" s="50">
        <v>46360.0</v>
      </c>
      <c r="O160" s="48" t="s">
        <v>86</v>
      </c>
      <c r="P160" s="39"/>
      <c r="Q160" s="39"/>
      <c r="R160" s="39"/>
    </row>
    <row r="161" ht="120.0" customHeight="1">
      <c r="A161" s="40" t="s">
        <v>1079</v>
      </c>
      <c r="B161" s="41" t="s">
        <v>1080</v>
      </c>
      <c r="C161" s="42" t="s">
        <v>1023</v>
      </c>
      <c r="D161" s="55" t="s">
        <v>58</v>
      </c>
      <c r="E161" s="42" t="s">
        <v>1024</v>
      </c>
      <c r="F161" s="41" t="s">
        <v>886</v>
      </c>
      <c r="G161" s="41" t="s">
        <v>1081</v>
      </c>
      <c r="H161" s="56" t="s">
        <v>1082</v>
      </c>
      <c r="I161" s="41" t="s">
        <v>1083</v>
      </c>
      <c r="J161" s="41" t="s">
        <v>1035</v>
      </c>
      <c r="K161" s="44" t="s">
        <v>84</v>
      </c>
      <c r="L161" s="42" t="s">
        <v>781</v>
      </c>
      <c r="M161" s="42" t="s">
        <v>883</v>
      </c>
      <c r="N161" s="45">
        <v>46360.0</v>
      </c>
      <c r="O161" s="42" t="s">
        <v>86</v>
      </c>
      <c r="P161" s="39"/>
      <c r="Q161" s="39"/>
      <c r="R161" s="39"/>
    </row>
    <row r="162" ht="120.0" customHeight="1">
      <c r="A162" s="46" t="s">
        <v>1084</v>
      </c>
      <c r="B162" s="47" t="s">
        <v>1085</v>
      </c>
      <c r="C162" s="48" t="s">
        <v>1023</v>
      </c>
      <c r="D162" s="55" t="s">
        <v>58</v>
      </c>
      <c r="E162" s="48" t="s">
        <v>1024</v>
      </c>
      <c r="F162" s="47" t="s">
        <v>886</v>
      </c>
      <c r="G162" s="47" t="s">
        <v>1086</v>
      </c>
      <c r="H162" s="47" t="s">
        <v>881</v>
      </c>
      <c r="I162" s="47" t="s">
        <v>1087</v>
      </c>
      <c r="J162" s="47" t="s">
        <v>1087</v>
      </c>
      <c r="K162" s="44" t="s">
        <v>84</v>
      </c>
      <c r="L162" s="48" t="s">
        <v>781</v>
      </c>
      <c r="M162" s="48" t="s">
        <v>883</v>
      </c>
      <c r="N162" s="50">
        <v>46360.0</v>
      </c>
      <c r="O162" s="48" t="s">
        <v>86</v>
      </c>
      <c r="P162" s="39"/>
      <c r="Q162" s="39"/>
      <c r="R162" s="39"/>
    </row>
    <row r="163" ht="120.0" customHeight="1">
      <c r="A163" s="40" t="s">
        <v>1088</v>
      </c>
      <c r="B163" s="41" t="s">
        <v>1089</v>
      </c>
      <c r="C163" s="42" t="s">
        <v>1023</v>
      </c>
      <c r="D163" s="55" t="s">
        <v>58</v>
      </c>
      <c r="E163" s="42" t="s">
        <v>1024</v>
      </c>
      <c r="F163" s="41" t="s">
        <v>1090</v>
      </c>
      <c r="G163" s="41" t="s">
        <v>1091</v>
      </c>
      <c r="H163" s="41" t="s">
        <v>881</v>
      </c>
      <c r="I163" s="41" t="s">
        <v>1092</v>
      </c>
      <c r="J163" s="41" t="s">
        <v>1092</v>
      </c>
      <c r="K163" s="44" t="s">
        <v>84</v>
      </c>
      <c r="L163" s="42" t="s">
        <v>781</v>
      </c>
      <c r="M163" s="42" t="s">
        <v>883</v>
      </c>
      <c r="N163" s="45">
        <v>46360.0</v>
      </c>
      <c r="O163" s="42" t="s">
        <v>86</v>
      </c>
      <c r="P163" s="39"/>
      <c r="Q163" s="39"/>
      <c r="R163" s="39"/>
    </row>
    <row r="164" ht="120.0" customHeight="1">
      <c r="A164" s="46" t="s">
        <v>1093</v>
      </c>
      <c r="B164" s="47" t="s">
        <v>1094</v>
      </c>
      <c r="C164" s="48" t="s">
        <v>1023</v>
      </c>
      <c r="D164" s="55" t="s">
        <v>58</v>
      </c>
      <c r="E164" s="48" t="s">
        <v>1024</v>
      </c>
      <c r="F164" s="47" t="s">
        <v>1090</v>
      </c>
      <c r="G164" s="47" t="s">
        <v>1095</v>
      </c>
      <c r="H164" s="47" t="s">
        <v>881</v>
      </c>
      <c r="I164" s="47" t="s">
        <v>1096</v>
      </c>
      <c r="J164" s="47" t="s">
        <v>1096</v>
      </c>
      <c r="K164" s="44" t="s">
        <v>84</v>
      </c>
      <c r="L164" s="48" t="s">
        <v>781</v>
      </c>
      <c r="M164" s="48" t="s">
        <v>883</v>
      </c>
      <c r="N164" s="50">
        <v>46360.0</v>
      </c>
      <c r="O164" s="48" t="s">
        <v>86</v>
      </c>
      <c r="P164" s="39"/>
      <c r="Q164" s="39"/>
      <c r="R164" s="39"/>
    </row>
    <row r="165" ht="120.0" customHeight="1">
      <c r="A165" s="40" t="s">
        <v>1097</v>
      </c>
      <c r="B165" s="41" t="s">
        <v>1098</v>
      </c>
      <c r="C165" s="42" t="s">
        <v>878</v>
      </c>
      <c r="D165" s="55" t="s">
        <v>58</v>
      </c>
      <c r="E165" s="42" t="s">
        <v>78</v>
      </c>
      <c r="F165" s="41" t="s">
        <v>1099</v>
      </c>
      <c r="G165" s="41" t="s">
        <v>1100</v>
      </c>
      <c r="H165" s="41" t="s">
        <v>881</v>
      </c>
      <c r="I165" s="41" t="s">
        <v>1101</v>
      </c>
      <c r="J165" s="41" t="s">
        <v>1101</v>
      </c>
      <c r="K165" s="44" t="s">
        <v>84</v>
      </c>
      <c r="L165" s="42" t="s">
        <v>781</v>
      </c>
      <c r="M165" s="42" t="s">
        <v>883</v>
      </c>
      <c r="N165" s="45">
        <v>46360.0</v>
      </c>
      <c r="O165" s="42" t="s">
        <v>86</v>
      </c>
      <c r="P165" s="39"/>
      <c r="Q165" s="39"/>
      <c r="R165" s="39"/>
    </row>
    <row r="166" ht="120.0" customHeight="1">
      <c r="A166" s="46" t="s">
        <v>1102</v>
      </c>
      <c r="B166" s="47" t="s">
        <v>1103</v>
      </c>
      <c r="C166" s="48" t="s">
        <v>878</v>
      </c>
      <c r="D166" s="55" t="s">
        <v>58</v>
      </c>
      <c r="E166" s="48" t="s">
        <v>78</v>
      </c>
      <c r="F166" s="47" t="s">
        <v>1104</v>
      </c>
      <c r="G166" s="47" t="s">
        <v>1105</v>
      </c>
      <c r="H166" s="47" t="s">
        <v>944</v>
      </c>
      <c r="I166" s="47" t="s">
        <v>1106</v>
      </c>
      <c r="J166" s="47" t="s">
        <v>1106</v>
      </c>
      <c r="K166" s="44" t="s">
        <v>84</v>
      </c>
      <c r="L166" s="48" t="s">
        <v>781</v>
      </c>
      <c r="M166" s="48" t="s">
        <v>883</v>
      </c>
      <c r="N166" s="50">
        <v>46360.0</v>
      </c>
      <c r="O166" s="48" t="s">
        <v>86</v>
      </c>
      <c r="P166" s="39"/>
      <c r="Q166" s="39"/>
      <c r="R166" s="39"/>
    </row>
    <row r="167" ht="120.0" customHeight="1">
      <c r="A167" s="40" t="s">
        <v>1107</v>
      </c>
      <c r="B167" s="41" t="s">
        <v>1108</v>
      </c>
      <c r="C167" s="42" t="s">
        <v>1109</v>
      </c>
      <c r="D167" s="51" t="s">
        <v>52</v>
      </c>
      <c r="E167" s="42" t="s">
        <v>78</v>
      </c>
      <c r="F167" s="41" t="s">
        <v>1104</v>
      </c>
      <c r="G167" s="41" t="s">
        <v>1110</v>
      </c>
      <c r="H167" s="41" t="s">
        <v>1111</v>
      </c>
      <c r="I167" s="41" t="s">
        <v>1112</v>
      </c>
      <c r="J167" s="41" t="s">
        <v>1112</v>
      </c>
      <c r="K167" s="44" t="s">
        <v>84</v>
      </c>
      <c r="L167" s="42" t="s">
        <v>155</v>
      </c>
      <c r="M167" s="42" t="s">
        <v>883</v>
      </c>
      <c r="N167" s="45">
        <v>46360.0</v>
      </c>
      <c r="O167" s="42" t="s">
        <v>86</v>
      </c>
      <c r="P167" s="39"/>
      <c r="Q167" s="39"/>
      <c r="R167" s="39"/>
    </row>
    <row r="168" ht="120.0" customHeight="1">
      <c r="A168" s="46" t="s">
        <v>1113</v>
      </c>
      <c r="B168" s="47" t="s">
        <v>1114</v>
      </c>
      <c r="C168" s="48" t="s">
        <v>1109</v>
      </c>
      <c r="D168" s="51" t="s">
        <v>52</v>
      </c>
      <c r="E168" s="48" t="s">
        <v>78</v>
      </c>
      <c r="F168" s="47" t="s">
        <v>1115</v>
      </c>
      <c r="G168" s="47" t="s">
        <v>1116</v>
      </c>
      <c r="H168" s="47" t="s">
        <v>1117</v>
      </c>
      <c r="I168" s="47" t="s">
        <v>1118</v>
      </c>
      <c r="J168" s="47" t="s">
        <v>1119</v>
      </c>
      <c r="K168" s="49" t="s">
        <v>96</v>
      </c>
      <c r="L168" s="48" t="s">
        <v>155</v>
      </c>
      <c r="M168" s="48" t="s">
        <v>883</v>
      </c>
      <c r="N168" s="50">
        <v>46360.0</v>
      </c>
      <c r="O168" s="48" t="s">
        <v>1120</v>
      </c>
      <c r="P168" s="39"/>
      <c r="Q168" s="39"/>
      <c r="R168" s="39"/>
    </row>
    <row r="169" ht="120.0" customHeight="1">
      <c r="A169" s="40" t="s">
        <v>1121</v>
      </c>
      <c r="B169" s="41" t="s">
        <v>1122</v>
      </c>
      <c r="C169" s="42" t="s">
        <v>1109</v>
      </c>
      <c r="D169" s="51" t="s">
        <v>52</v>
      </c>
      <c r="E169" s="42" t="s">
        <v>78</v>
      </c>
      <c r="F169" s="41" t="s">
        <v>1115</v>
      </c>
      <c r="G169" s="41" t="s">
        <v>1123</v>
      </c>
      <c r="H169" s="41" t="s">
        <v>1124</v>
      </c>
      <c r="I169" s="41" t="s">
        <v>1125</v>
      </c>
      <c r="J169" s="41" t="s">
        <v>1125</v>
      </c>
      <c r="K169" s="44" t="s">
        <v>84</v>
      </c>
      <c r="L169" s="42" t="s">
        <v>155</v>
      </c>
      <c r="M169" s="42" t="s">
        <v>883</v>
      </c>
      <c r="N169" s="45">
        <v>46360.0</v>
      </c>
      <c r="O169" s="42" t="s">
        <v>86</v>
      </c>
      <c r="P169" s="39"/>
      <c r="Q169" s="39"/>
      <c r="R169" s="39"/>
    </row>
    <row r="170" ht="120.0" customHeight="1">
      <c r="A170" s="46" t="s">
        <v>1126</v>
      </c>
      <c r="B170" s="47" t="s">
        <v>1127</v>
      </c>
      <c r="C170" s="48" t="s">
        <v>1109</v>
      </c>
      <c r="D170" s="51" t="s">
        <v>52</v>
      </c>
      <c r="E170" s="48" t="s">
        <v>78</v>
      </c>
      <c r="F170" s="47" t="s">
        <v>1104</v>
      </c>
      <c r="G170" s="47" t="s">
        <v>1128</v>
      </c>
      <c r="H170" s="47" t="s">
        <v>1129</v>
      </c>
      <c r="I170" s="47" t="s">
        <v>1130</v>
      </c>
      <c r="J170" s="47" t="s">
        <v>1131</v>
      </c>
      <c r="K170" s="49" t="s">
        <v>96</v>
      </c>
      <c r="L170" s="48" t="s">
        <v>155</v>
      </c>
      <c r="M170" s="48" t="s">
        <v>883</v>
      </c>
      <c r="N170" s="50">
        <v>46360.0</v>
      </c>
      <c r="O170" s="48" t="s">
        <v>1132</v>
      </c>
      <c r="P170" s="39"/>
      <c r="Q170" s="39"/>
      <c r="R170" s="39"/>
    </row>
    <row r="171" ht="120.0" customHeight="1">
      <c r="A171" s="40" t="s">
        <v>1133</v>
      </c>
      <c r="B171" s="41" t="s">
        <v>1134</v>
      </c>
      <c r="C171" s="42" t="s">
        <v>1109</v>
      </c>
      <c r="D171" s="51" t="s">
        <v>52</v>
      </c>
      <c r="E171" s="42" t="s">
        <v>78</v>
      </c>
      <c r="F171" s="41" t="s">
        <v>1104</v>
      </c>
      <c r="G171" s="41" t="s">
        <v>1135</v>
      </c>
      <c r="H171" s="41" t="s">
        <v>1136</v>
      </c>
      <c r="I171" s="41" t="s">
        <v>1137</v>
      </c>
      <c r="J171" s="41" t="s">
        <v>1137</v>
      </c>
      <c r="K171" s="44" t="s">
        <v>84</v>
      </c>
      <c r="L171" s="42" t="s">
        <v>155</v>
      </c>
      <c r="M171" s="42" t="s">
        <v>883</v>
      </c>
      <c r="N171" s="45">
        <v>46360.0</v>
      </c>
      <c r="O171" s="42" t="s">
        <v>86</v>
      </c>
      <c r="P171" s="39"/>
      <c r="Q171" s="39"/>
      <c r="R171" s="39"/>
    </row>
    <row r="172" ht="120.0" customHeight="1">
      <c r="A172" s="46" t="s">
        <v>1138</v>
      </c>
      <c r="B172" s="47" t="s">
        <v>1139</v>
      </c>
      <c r="C172" s="48" t="s">
        <v>1109</v>
      </c>
      <c r="D172" s="51" t="s">
        <v>52</v>
      </c>
      <c r="E172" s="48" t="s">
        <v>78</v>
      </c>
      <c r="F172" s="47" t="s">
        <v>1104</v>
      </c>
      <c r="G172" s="47" t="s">
        <v>1140</v>
      </c>
      <c r="H172" s="47" t="s">
        <v>1141</v>
      </c>
      <c r="I172" s="47" t="s">
        <v>1142</v>
      </c>
      <c r="J172" s="47" t="s">
        <v>1143</v>
      </c>
      <c r="K172" s="57" t="s">
        <v>1144</v>
      </c>
      <c r="L172" s="48" t="s">
        <v>155</v>
      </c>
      <c r="M172" s="48" t="s">
        <v>883</v>
      </c>
      <c r="N172" s="50">
        <v>46360.0</v>
      </c>
      <c r="O172" s="48" t="s">
        <v>86</v>
      </c>
      <c r="P172" s="39"/>
      <c r="Q172" s="39"/>
      <c r="R172" s="39"/>
    </row>
    <row r="173" ht="120.0" customHeight="1">
      <c r="A173" s="40" t="s">
        <v>1145</v>
      </c>
      <c r="B173" s="41" t="s">
        <v>1146</v>
      </c>
      <c r="C173" s="42" t="s">
        <v>1109</v>
      </c>
      <c r="D173" s="51" t="s">
        <v>52</v>
      </c>
      <c r="E173" s="42" t="s">
        <v>78</v>
      </c>
      <c r="F173" s="41" t="s">
        <v>1104</v>
      </c>
      <c r="G173" s="41" t="s">
        <v>1147</v>
      </c>
      <c r="H173" s="41" t="s">
        <v>1148</v>
      </c>
      <c r="I173" s="41" t="s">
        <v>1149</v>
      </c>
      <c r="J173" s="41" t="s">
        <v>1149</v>
      </c>
      <c r="K173" s="44" t="s">
        <v>84</v>
      </c>
      <c r="L173" s="42" t="s">
        <v>155</v>
      </c>
      <c r="M173" s="42" t="s">
        <v>883</v>
      </c>
      <c r="N173" s="45">
        <v>46360.0</v>
      </c>
      <c r="O173" s="42" t="s">
        <v>86</v>
      </c>
      <c r="P173" s="39"/>
      <c r="Q173" s="39"/>
      <c r="R173" s="39"/>
    </row>
    <row r="174" ht="120.0" customHeight="1">
      <c r="A174" s="46" t="s">
        <v>1150</v>
      </c>
      <c r="B174" s="47" t="s">
        <v>1151</v>
      </c>
      <c r="C174" s="48" t="s">
        <v>1109</v>
      </c>
      <c r="D174" s="51" t="s">
        <v>52</v>
      </c>
      <c r="E174" s="48" t="s">
        <v>78</v>
      </c>
      <c r="F174" s="47" t="s">
        <v>1104</v>
      </c>
      <c r="G174" s="47" t="s">
        <v>1152</v>
      </c>
      <c r="H174" s="47" t="s">
        <v>1153</v>
      </c>
      <c r="I174" s="47" t="s">
        <v>1154</v>
      </c>
      <c r="J174" s="47" t="s">
        <v>1154</v>
      </c>
      <c r="K174" s="44" t="s">
        <v>84</v>
      </c>
      <c r="L174" s="48" t="s">
        <v>155</v>
      </c>
      <c r="M174" s="48" t="s">
        <v>883</v>
      </c>
      <c r="N174" s="50">
        <v>46360.0</v>
      </c>
      <c r="O174" s="48" t="s">
        <v>86</v>
      </c>
      <c r="P174" s="39"/>
      <c r="Q174" s="39"/>
      <c r="R174" s="39"/>
    </row>
    <row r="175" ht="120.0" customHeight="1">
      <c r="A175" s="40" t="s">
        <v>1155</v>
      </c>
      <c r="B175" s="41" t="s">
        <v>1156</v>
      </c>
      <c r="C175" s="42" t="s">
        <v>1109</v>
      </c>
      <c r="D175" s="51" t="s">
        <v>52</v>
      </c>
      <c r="E175" s="42" t="s">
        <v>78</v>
      </c>
      <c r="F175" s="41" t="s">
        <v>1104</v>
      </c>
      <c r="G175" s="41" t="s">
        <v>1157</v>
      </c>
      <c r="H175" s="41" t="s">
        <v>1158</v>
      </c>
      <c r="I175" s="41" t="s">
        <v>1159</v>
      </c>
      <c r="J175" s="41" t="s">
        <v>1159</v>
      </c>
      <c r="K175" s="44" t="s">
        <v>84</v>
      </c>
      <c r="L175" s="42" t="s">
        <v>155</v>
      </c>
      <c r="M175" s="42" t="s">
        <v>883</v>
      </c>
      <c r="N175" s="45">
        <v>46360.0</v>
      </c>
      <c r="O175" s="42" t="s">
        <v>86</v>
      </c>
      <c r="P175" s="39"/>
      <c r="Q175" s="39"/>
      <c r="R175" s="39"/>
    </row>
    <row r="176" ht="120.0" customHeight="1">
      <c r="A176" s="46" t="s">
        <v>1160</v>
      </c>
      <c r="B176" s="47" t="s">
        <v>1161</v>
      </c>
      <c r="C176" s="48" t="s">
        <v>1109</v>
      </c>
      <c r="D176" s="51" t="s">
        <v>52</v>
      </c>
      <c r="E176" s="48" t="s">
        <v>78</v>
      </c>
      <c r="F176" s="47" t="s">
        <v>1162</v>
      </c>
      <c r="G176" s="47" t="s">
        <v>1163</v>
      </c>
      <c r="H176" s="47" t="s">
        <v>1148</v>
      </c>
      <c r="I176" s="47" t="s">
        <v>1164</v>
      </c>
      <c r="J176" s="47" t="s">
        <v>1165</v>
      </c>
      <c r="K176" s="44" t="s">
        <v>84</v>
      </c>
      <c r="L176" s="48" t="s">
        <v>155</v>
      </c>
      <c r="M176" s="48" t="s">
        <v>883</v>
      </c>
      <c r="N176" s="50">
        <v>46360.0</v>
      </c>
      <c r="O176" s="48" t="s">
        <v>86</v>
      </c>
      <c r="P176" s="39"/>
      <c r="Q176" s="39"/>
      <c r="R176" s="39"/>
    </row>
    <row r="177" ht="120.0" customHeight="1">
      <c r="A177" s="40" t="s">
        <v>1166</v>
      </c>
      <c r="B177" s="41" t="s">
        <v>1167</v>
      </c>
      <c r="C177" s="42" t="s">
        <v>1109</v>
      </c>
      <c r="D177" s="51" t="s">
        <v>52</v>
      </c>
      <c r="E177" s="42" t="s">
        <v>78</v>
      </c>
      <c r="F177" s="41" t="s">
        <v>1104</v>
      </c>
      <c r="G177" s="41" t="s">
        <v>1168</v>
      </c>
      <c r="H177" s="41" t="s">
        <v>1148</v>
      </c>
      <c r="I177" s="41" t="s">
        <v>1169</v>
      </c>
      <c r="J177" s="41" t="s">
        <v>1170</v>
      </c>
      <c r="K177" s="44" t="s">
        <v>84</v>
      </c>
      <c r="L177" s="42" t="s">
        <v>155</v>
      </c>
      <c r="M177" s="42" t="s">
        <v>883</v>
      </c>
      <c r="N177" s="45">
        <v>46360.0</v>
      </c>
      <c r="O177" s="42" t="s">
        <v>86</v>
      </c>
      <c r="P177" s="39"/>
      <c r="Q177" s="39"/>
      <c r="R177" s="39"/>
    </row>
    <row r="178" ht="120.0" customHeight="1">
      <c r="A178" s="46" t="s">
        <v>1171</v>
      </c>
      <c r="B178" s="47" t="s">
        <v>1172</v>
      </c>
      <c r="C178" s="48" t="s">
        <v>1109</v>
      </c>
      <c r="D178" s="51" t="s">
        <v>52</v>
      </c>
      <c r="E178" s="48" t="s">
        <v>78</v>
      </c>
      <c r="F178" s="47" t="s">
        <v>1173</v>
      </c>
      <c r="G178" s="47" t="s">
        <v>1174</v>
      </c>
      <c r="H178" s="47" t="s">
        <v>1129</v>
      </c>
      <c r="I178" s="47" t="s">
        <v>1175</v>
      </c>
      <c r="J178" s="47" t="s">
        <v>1175</v>
      </c>
      <c r="K178" s="44" t="s">
        <v>84</v>
      </c>
      <c r="L178" s="48" t="s">
        <v>155</v>
      </c>
      <c r="M178" s="48" t="s">
        <v>883</v>
      </c>
      <c r="N178" s="50">
        <v>46360.0</v>
      </c>
      <c r="O178" s="48" t="s">
        <v>86</v>
      </c>
      <c r="P178" s="39"/>
      <c r="Q178" s="39"/>
      <c r="R178" s="39"/>
    </row>
    <row r="179" ht="120.0" customHeight="1">
      <c r="A179" s="40" t="s">
        <v>1176</v>
      </c>
      <c r="B179" s="41" t="s">
        <v>1177</v>
      </c>
      <c r="C179" s="42" t="s">
        <v>1109</v>
      </c>
      <c r="D179" s="51" t="s">
        <v>52</v>
      </c>
      <c r="E179" s="42" t="s">
        <v>78</v>
      </c>
      <c r="F179" s="41" t="s">
        <v>1178</v>
      </c>
      <c r="G179" s="41" t="s">
        <v>1179</v>
      </c>
      <c r="H179" s="41" t="s">
        <v>944</v>
      </c>
      <c r="I179" s="41" t="s">
        <v>1180</v>
      </c>
      <c r="J179" s="41" t="s">
        <v>1181</v>
      </c>
      <c r="K179" s="49" t="s">
        <v>96</v>
      </c>
      <c r="L179" s="42" t="s">
        <v>155</v>
      </c>
      <c r="M179" s="42" t="s">
        <v>883</v>
      </c>
      <c r="N179" s="45">
        <v>46360.0</v>
      </c>
      <c r="O179" s="42" t="s">
        <v>1182</v>
      </c>
      <c r="P179" s="39"/>
      <c r="Q179" s="39"/>
      <c r="R179" s="39"/>
    </row>
    <row r="180" ht="120.0" customHeight="1">
      <c r="A180" s="46" t="s">
        <v>1183</v>
      </c>
      <c r="B180" s="47" t="s">
        <v>1184</v>
      </c>
      <c r="C180" s="48" t="s">
        <v>1109</v>
      </c>
      <c r="D180" s="51" t="s">
        <v>52</v>
      </c>
      <c r="E180" s="48" t="s">
        <v>78</v>
      </c>
      <c r="F180" s="47" t="s">
        <v>1178</v>
      </c>
      <c r="G180" s="47" t="s">
        <v>1185</v>
      </c>
      <c r="H180" s="47" t="s">
        <v>944</v>
      </c>
      <c r="I180" s="47" t="s">
        <v>1186</v>
      </c>
      <c r="J180" s="47" t="s">
        <v>1187</v>
      </c>
      <c r="K180" s="49" t="s">
        <v>96</v>
      </c>
      <c r="L180" s="48" t="s">
        <v>155</v>
      </c>
      <c r="M180" s="48" t="s">
        <v>883</v>
      </c>
      <c r="N180" s="50">
        <v>46360.0</v>
      </c>
      <c r="O180" s="48" t="s">
        <v>1188</v>
      </c>
      <c r="P180" s="39"/>
      <c r="Q180" s="39"/>
      <c r="R180" s="39"/>
    </row>
    <row r="181" ht="120.0" customHeight="1">
      <c r="A181" s="40" t="s">
        <v>1189</v>
      </c>
      <c r="B181" s="41" t="s">
        <v>1190</v>
      </c>
      <c r="C181" s="42" t="s">
        <v>1109</v>
      </c>
      <c r="D181" s="51" t="s">
        <v>52</v>
      </c>
      <c r="E181" s="42" t="s">
        <v>78</v>
      </c>
      <c r="F181" s="41" t="s">
        <v>1104</v>
      </c>
      <c r="G181" s="41" t="s">
        <v>1191</v>
      </c>
      <c r="H181" s="41" t="s">
        <v>1192</v>
      </c>
      <c r="I181" s="41" t="s">
        <v>1193</v>
      </c>
      <c r="J181" s="41" t="s">
        <v>1193</v>
      </c>
      <c r="K181" s="44" t="s">
        <v>84</v>
      </c>
      <c r="L181" s="42" t="s">
        <v>155</v>
      </c>
      <c r="M181" s="42" t="s">
        <v>883</v>
      </c>
      <c r="N181" s="45">
        <v>46360.0</v>
      </c>
      <c r="O181" s="42" t="s">
        <v>86</v>
      </c>
      <c r="P181" s="39"/>
      <c r="Q181" s="39"/>
      <c r="R181" s="39"/>
    </row>
    <row r="182" ht="120.0" customHeight="1">
      <c r="A182" s="46" t="s">
        <v>1194</v>
      </c>
      <c r="B182" s="47" t="s">
        <v>1195</v>
      </c>
      <c r="C182" s="48" t="s">
        <v>1109</v>
      </c>
      <c r="D182" s="53" t="s">
        <v>55</v>
      </c>
      <c r="E182" s="48" t="s">
        <v>78</v>
      </c>
      <c r="F182" s="47" t="s">
        <v>1104</v>
      </c>
      <c r="G182" s="47" t="s">
        <v>1196</v>
      </c>
      <c r="H182" s="47" t="s">
        <v>1136</v>
      </c>
      <c r="I182" s="47" t="s">
        <v>1197</v>
      </c>
      <c r="J182" s="47" t="s">
        <v>1197</v>
      </c>
      <c r="K182" s="44" t="s">
        <v>84</v>
      </c>
      <c r="L182" s="48" t="s">
        <v>538</v>
      </c>
      <c r="M182" s="48" t="s">
        <v>883</v>
      </c>
      <c r="N182" s="50">
        <v>46360.0</v>
      </c>
      <c r="O182" s="48" t="s">
        <v>86</v>
      </c>
      <c r="P182" s="39"/>
      <c r="Q182" s="39"/>
      <c r="R182" s="39"/>
    </row>
    <row r="183" ht="120.0" customHeight="1">
      <c r="A183" s="40" t="s">
        <v>1198</v>
      </c>
      <c r="B183" s="41" t="s">
        <v>1199</v>
      </c>
      <c r="C183" s="42" t="s">
        <v>1109</v>
      </c>
      <c r="D183" s="53" t="s">
        <v>55</v>
      </c>
      <c r="E183" s="42" t="s">
        <v>78</v>
      </c>
      <c r="F183" s="41" t="s">
        <v>1104</v>
      </c>
      <c r="G183" s="41" t="s">
        <v>1200</v>
      </c>
      <c r="H183" s="41" t="s">
        <v>1141</v>
      </c>
      <c r="I183" s="41" t="s">
        <v>1201</v>
      </c>
      <c r="J183" s="41" t="s">
        <v>1201</v>
      </c>
      <c r="K183" s="44" t="s">
        <v>84</v>
      </c>
      <c r="L183" s="42" t="s">
        <v>538</v>
      </c>
      <c r="M183" s="42" t="s">
        <v>883</v>
      </c>
      <c r="N183" s="45">
        <v>46360.0</v>
      </c>
      <c r="O183" s="42" t="s">
        <v>86</v>
      </c>
      <c r="P183" s="39"/>
      <c r="Q183" s="39"/>
      <c r="R183" s="39"/>
    </row>
    <row r="184" ht="120.0" customHeight="1">
      <c r="A184" s="46" t="s">
        <v>1202</v>
      </c>
      <c r="B184" s="47" t="s">
        <v>1203</v>
      </c>
      <c r="C184" s="48" t="s">
        <v>1109</v>
      </c>
      <c r="D184" s="53" t="s">
        <v>55</v>
      </c>
      <c r="E184" s="48" t="s">
        <v>78</v>
      </c>
      <c r="F184" s="47" t="s">
        <v>1204</v>
      </c>
      <c r="G184" s="47" t="s">
        <v>1205</v>
      </c>
      <c r="H184" s="47" t="s">
        <v>1206</v>
      </c>
      <c r="I184" s="47" t="s">
        <v>1207</v>
      </c>
      <c r="J184" s="47" t="s">
        <v>1207</v>
      </c>
      <c r="K184" s="44" t="s">
        <v>84</v>
      </c>
      <c r="L184" s="48" t="s">
        <v>538</v>
      </c>
      <c r="M184" s="48" t="s">
        <v>883</v>
      </c>
      <c r="N184" s="50">
        <v>46360.0</v>
      </c>
      <c r="O184" s="48" t="s">
        <v>86</v>
      </c>
      <c r="P184" s="39"/>
      <c r="Q184" s="39"/>
      <c r="R184" s="39"/>
    </row>
    <row r="185" ht="120.0" customHeight="1">
      <c r="A185" s="40" t="s">
        <v>1208</v>
      </c>
      <c r="B185" s="41" t="s">
        <v>1209</v>
      </c>
      <c r="C185" s="42" t="s">
        <v>1109</v>
      </c>
      <c r="D185" s="53" t="s">
        <v>55</v>
      </c>
      <c r="E185" s="42" t="s">
        <v>78</v>
      </c>
      <c r="F185" s="41" t="s">
        <v>1104</v>
      </c>
      <c r="G185" s="41" t="s">
        <v>1210</v>
      </c>
      <c r="H185" s="41" t="s">
        <v>1148</v>
      </c>
      <c r="I185" s="41" t="s">
        <v>1211</v>
      </c>
      <c r="J185" s="41" t="s">
        <v>1211</v>
      </c>
      <c r="K185" s="44" t="s">
        <v>84</v>
      </c>
      <c r="L185" s="42" t="s">
        <v>538</v>
      </c>
      <c r="M185" s="42" t="s">
        <v>883</v>
      </c>
      <c r="N185" s="45">
        <v>46360.0</v>
      </c>
      <c r="O185" s="42" t="s">
        <v>86</v>
      </c>
      <c r="P185" s="39"/>
      <c r="Q185" s="39"/>
      <c r="R185" s="39"/>
    </row>
    <row r="186" ht="120.0" customHeight="1">
      <c r="A186" s="46" t="s">
        <v>1212</v>
      </c>
      <c r="B186" s="47" t="s">
        <v>1213</v>
      </c>
      <c r="C186" s="48" t="s">
        <v>1109</v>
      </c>
      <c r="D186" s="53" t="s">
        <v>55</v>
      </c>
      <c r="E186" s="48" t="s">
        <v>78</v>
      </c>
      <c r="F186" s="47" t="s">
        <v>1214</v>
      </c>
      <c r="G186" s="47" t="s">
        <v>1215</v>
      </c>
      <c r="H186" s="47" t="s">
        <v>1216</v>
      </c>
      <c r="I186" s="47" t="s">
        <v>1217</v>
      </c>
      <c r="J186" s="47" t="s">
        <v>1217</v>
      </c>
      <c r="K186" s="44" t="s">
        <v>84</v>
      </c>
      <c r="L186" s="48" t="s">
        <v>538</v>
      </c>
      <c r="M186" s="48" t="s">
        <v>883</v>
      </c>
      <c r="N186" s="50">
        <v>46360.0</v>
      </c>
      <c r="O186" s="48" t="s">
        <v>86</v>
      </c>
      <c r="P186" s="39"/>
      <c r="Q186" s="39"/>
      <c r="R186" s="39"/>
    </row>
    <row r="187" ht="120.0" customHeight="1">
      <c r="A187" s="40" t="s">
        <v>1218</v>
      </c>
      <c r="B187" s="41" t="s">
        <v>1219</v>
      </c>
      <c r="C187" s="42" t="s">
        <v>1109</v>
      </c>
      <c r="D187" s="53" t="s">
        <v>55</v>
      </c>
      <c r="E187" s="42" t="s">
        <v>78</v>
      </c>
      <c r="F187" s="41" t="s">
        <v>1104</v>
      </c>
      <c r="G187" s="41" t="s">
        <v>1220</v>
      </c>
      <c r="H187" s="41" t="s">
        <v>1221</v>
      </c>
      <c r="I187" s="41" t="s">
        <v>1222</v>
      </c>
      <c r="J187" s="41" t="s">
        <v>1222</v>
      </c>
      <c r="K187" s="44" t="s">
        <v>84</v>
      </c>
      <c r="L187" s="42" t="s">
        <v>538</v>
      </c>
      <c r="M187" s="42" t="s">
        <v>883</v>
      </c>
      <c r="N187" s="45">
        <v>46360.0</v>
      </c>
      <c r="O187" s="42" t="s">
        <v>86</v>
      </c>
      <c r="P187" s="39"/>
      <c r="Q187" s="39"/>
      <c r="R187" s="39"/>
    </row>
    <row r="188" ht="120.0" customHeight="1">
      <c r="A188" s="46" t="s">
        <v>1223</v>
      </c>
      <c r="B188" s="47" t="s">
        <v>1224</v>
      </c>
      <c r="C188" s="48" t="s">
        <v>1225</v>
      </c>
      <c r="D188" s="53" t="s">
        <v>55</v>
      </c>
      <c r="E188" s="48" t="s">
        <v>949</v>
      </c>
      <c r="F188" s="47" t="s">
        <v>1104</v>
      </c>
      <c r="G188" s="47" t="s">
        <v>1226</v>
      </c>
      <c r="H188" s="47" t="s">
        <v>1227</v>
      </c>
      <c r="I188" s="47" t="s">
        <v>1228</v>
      </c>
      <c r="J188" s="47" t="s">
        <v>1228</v>
      </c>
      <c r="K188" s="44" t="s">
        <v>84</v>
      </c>
      <c r="L188" s="48" t="s">
        <v>538</v>
      </c>
      <c r="M188" s="48" t="s">
        <v>883</v>
      </c>
      <c r="N188" s="50">
        <v>46360.0</v>
      </c>
      <c r="O188" s="48" t="s">
        <v>86</v>
      </c>
      <c r="P188" s="39"/>
      <c r="Q188" s="39"/>
      <c r="R188" s="39"/>
    </row>
    <row r="189" ht="120.0" customHeight="1">
      <c r="A189" s="40" t="s">
        <v>1229</v>
      </c>
      <c r="B189" s="41" t="s">
        <v>1230</v>
      </c>
      <c r="C189" s="42" t="s">
        <v>1231</v>
      </c>
      <c r="D189" s="53" t="s">
        <v>55</v>
      </c>
      <c r="E189" s="42" t="s">
        <v>1024</v>
      </c>
      <c r="F189" s="41" t="s">
        <v>1104</v>
      </c>
      <c r="G189" s="41" t="s">
        <v>1232</v>
      </c>
      <c r="H189" s="41" t="s">
        <v>1233</v>
      </c>
      <c r="I189" s="41" t="s">
        <v>1234</v>
      </c>
      <c r="J189" s="41" t="s">
        <v>1234</v>
      </c>
      <c r="K189" s="44" t="s">
        <v>84</v>
      </c>
      <c r="L189" s="42" t="s">
        <v>538</v>
      </c>
      <c r="M189" s="42" t="s">
        <v>883</v>
      </c>
      <c r="N189" s="45">
        <v>46360.0</v>
      </c>
      <c r="O189" s="42" t="s">
        <v>86</v>
      </c>
      <c r="P189" s="39"/>
      <c r="Q189" s="39"/>
      <c r="R189" s="39"/>
    </row>
    <row r="190" ht="120.0" customHeight="1">
      <c r="A190" s="46" t="s">
        <v>1235</v>
      </c>
      <c r="B190" s="47" t="s">
        <v>1236</v>
      </c>
      <c r="C190" s="48" t="s">
        <v>1109</v>
      </c>
      <c r="D190" s="55" t="s">
        <v>58</v>
      </c>
      <c r="E190" s="48" t="s">
        <v>78</v>
      </c>
      <c r="F190" s="47" t="s">
        <v>1104</v>
      </c>
      <c r="G190" s="47" t="s">
        <v>1237</v>
      </c>
      <c r="H190" s="47" t="s">
        <v>1136</v>
      </c>
      <c r="I190" s="47" t="s">
        <v>1238</v>
      </c>
      <c r="J190" s="47" t="s">
        <v>1238</v>
      </c>
      <c r="K190" s="44" t="s">
        <v>84</v>
      </c>
      <c r="L190" s="48" t="s">
        <v>781</v>
      </c>
      <c r="M190" s="48" t="s">
        <v>883</v>
      </c>
      <c r="N190" s="50">
        <v>46360.0</v>
      </c>
      <c r="O190" s="48" t="s">
        <v>86</v>
      </c>
      <c r="P190" s="39"/>
      <c r="Q190" s="39"/>
      <c r="R190" s="39"/>
    </row>
    <row r="191" ht="120.0" customHeight="1">
      <c r="A191" s="40" t="s">
        <v>1239</v>
      </c>
      <c r="B191" s="41" t="s">
        <v>1240</v>
      </c>
      <c r="C191" s="42" t="s">
        <v>1109</v>
      </c>
      <c r="D191" s="55" t="s">
        <v>58</v>
      </c>
      <c r="E191" s="42" t="s">
        <v>78</v>
      </c>
      <c r="F191" s="41" t="s">
        <v>1104</v>
      </c>
      <c r="G191" s="41" t="s">
        <v>1241</v>
      </c>
      <c r="H191" s="41" t="s">
        <v>944</v>
      </c>
      <c r="I191" s="41" t="s">
        <v>1242</v>
      </c>
      <c r="J191" s="41" t="s">
        <v>1242</v>
      </c>
      <c r="K191" s="44" t="s">
        <v>84</v>
      </c>
      <c r="L191" s="42" t="s">
        <v>781</v>
      </c>
      <c r="M191" s="42" t="s">
        <v>883</v>
      </c>
      <c r="N191" s="45">
        <v>46360.0</v>
      </c>
      <c r="O191" s="42" t="s">
        <v>86</v>
      </c>
      <c r="P191" s="39"/>
      <c r="Q191" s="39"/>
      <c r="R191" s="39"/>
    </row>
    <row r="192" ht="120.0" customHeight="1">
      <c r="A192" s="46" t="s">
        <v>1243</v>
      </c>
      <c r="B192" s="47" t="s">
        <v>1244</v>
      </c>
      <c r="C192" s="48" t="s">
        <v>1225</v>
      </c>
      <c r="D192" s="55" t="s">
        <v>58</v>
      </c>
      <c r="E192" s="48" t="s">
        <v>949</v>
      </c>
      <c r="F192" s="47" t="s">
        <v>1104</v>
      </c>
      <c r="G192" s="47" t="s">
        <v>1245</v>
      </c>
      <c r="H192" s="47" t="s">
        <v>944</v>
      </c>
      <c r="I192" s="47" t="s">
        <v>1246</v>
      </c>
      <c r="J192" s="47" t="s">
        <v>1246</v>
      </c>
      <c r="K192" s="44" t="s">
        <v>84</v>
      </c>
      <c r="L192" s="48" t="s">
        <v>781</v>
      </c>
      <c r="M192" s="48" t="s">
        <v>883</v>
      </c>
      <c r="N192" s="50">
        <v>46360.0</v>
      </c>
      <c r="O192" s="48" t="s">
        <v>86</v>
      </c>
      <c r="P192" s="39"/>
      <c r="Q192" s="39"/>
      <c r="R192" s="39"/>
    </row>
    <row r="193" ht="120.0" customHeight="1">
      <c r="A193" s="40" t="s">
        <v>1247</v>
      </c>
      <c r="B193" s="41" t="s">
        <v>1248</v>
      </c>
      <c r="C193" s="42" t="s">
        <v>1249</v>
      </c>
      <c r="D193" s="55" t="s">
        <v>58</v>
      </c>
      <c r="E193" s="42" t="s">
        <v>801</v>
      </c>
      <c r="F193" s="41" t="s">
        <v>1104</v>
      </c>
      <c r="G193" s="41" t="s">
        <v>1250</v>
      </c>
      <c r="H193" s="41" t="s">
        <v>944</v>
      </c>
      <c r="I193" s="41" t="s">
        <v>1251</v>
      </c>
      <c r="J193" s="41" t="s">
        <v>1252</v>
      </c>
      <c r="K193" s="49" t="s">
        <v>96</v>
      </c>
      <c r="L193" s="42" t="s">
        <v>781</v>
      </c>
      <c r="M193" s="42" t="s">
        <v>883</v>
      </c>
      <c r="N193" s="45">
        <v>46360.0</v>
      </c>
      <c r="O193" s="42" t="s">
        <v>1253</v>
      </c>
      <c r="P193" s="39"/>
      <c r="Q193" s="39"/>
      <c r="R193" s="39"/>
    </row>
    <row r="194" ht="120.0" customHeight="1">
      <c r="A194" s="46" t="s">
        <v>1254</v>
      </c>
      <c r="B194" s="47" t="s">
        <v>1255</v>
      </c>
      <c r="C194" s="48" t="s">
        <v>1249</v>
      </c>
      <c r="D194" s="55" t="s">
        <v>58</v>
      </c>
      <c r="E194" s="48" t="s">
        <v>801</v>
      </c>
      <c r="F194" s="47" t="s">
        <v>1104</v>
      </c>
      <c r="G194" s="47" t="s">
        <v>1256</v>
      </c>
      <c r="H194" s="47" t="s">
        <v>1148</v>
      </c>
      <c r="I194" s="47" t="s">
        <v>1257</v>
      </c>
      <c r="J194" s="47" t="s">
        <v>1257</v>
      </c>
      <c r="K194" s="44" t="s">
        <v>84</v>
      </c>
      <c r="L194" s="48" t="s">
        <v>781</v>
      </c>
      <c r="M194" s="48" t="s">
        <v>883</v>
      </c>
      <c r="N194" s="50">
        <v>46360.0</v>
      </c>
      <c r="O194" s="48" t="s">
        <v>86</v>
      </c>
      <c r="P194" s="39"/>
      <c r="Q194" s="39"/>
      <c r="R194" s="39"/>
    </row>
    <row r="195" ht="120.0" customHeight="1">
      <c r="A195" s="40" t="s">
        <v>1258</v>
      </c>
      <c r="B195" s="41" t="s">
        <v>1259</v>
      </c>
      <c r="C195" s="42" t="s">
        <v>1231</v>
      </c>
      <c r="D195" s="55" t="s">
        <v>58</v>
      </c>
      <c r="E195" s="42" t="s">
        <v>1024</v>
      </c>
      <c r="F195" s="41" t="s">
        <v>1104</v>
      </c>
      <c r="G195" s="41" t="s">
        <v>1260</v>
      </c>
      <c r="H195" s="41" t="s">
        <v>1129</v>
      </c>
      <c r="I195" s="41" t="s">
        <v>1261</v>
      </c>
      <c r="J195" s="41" t="s">
        <v>1261</v>
      </c>
      <c r="K195" s="44" t="s">
        <v>84</v>
      </c>
      <c r="L195" s="42" t="s">
        <v>781</v>
      </c>
      <c r="M195" s="42" t="s">
        <v>883</v>
      </c>
      <c r="N195" s="45">
        <v>46360.0</v>
      </c>
      <c r="O195" s="42" t="s">
        <v>86</v>
      </c>
      <c r="P195" s="39"/>
      <c r="Q195" s="39"/>
      <c r="R195" s="39"/>
    </row>
    <row r="196" ht="120.0" customHeight="1">
      <c r="A196" s="46" t="s">
        <v>1262</v>
      </c>
      <c r="B196" s="47" t="s">
        <v>1263</v>
      </c>
      <c r="C196" s="48" t="s">
        <v>1231</v>
      </c>
      <c r="D196" s="55" t="s">
        <v>58</v>
      </c>
      <c r="E196" s="48" t="s">
        <v>1024</v>
      </c>
      <c r="F196" s="47" t="s">
        <v>1104</v>
      </c>
      <c r="G196" s="47" t="s">
        <v>1264</v>
      </c>
      <c r="H196" s="47" t="s">
        <v>1141</v>
      </c>
      <c r="I196" s="47" t="s">
        <v>1265</v>
      </c>
      <c r="J196" s="47" t="s">
        <v>1265</v>
      </c>
      <c r="K196" s="44" t="s">
        <v>84</v>
      </c>
      <c r="L196" s="48" t="s">
        <v>781</v>
      </c>
      <c r="M196" s="48" t="s">
        <v>883</v>
      </c>
      <c r="N196" s="50">
        <v>46360.0</v>
      </c>
      <c r="O196" s="48" t="s">
        <v>86</v>
      </c>
      <c r="P196" s="39"/>
      <c r="Q196" s="39"/>
      <c r="R196" s="39"/>
    </row>
    <row r="197" ht="120.0" customHeight="1">
      <c r="A197" s="40" t="s">
        <v>1266</v>
      </c>
      <c r="B197" s="41" t="s">
        <v>1267</v>
      </c>
      <c r="C197" s="42" t="s">
        <v>1268</v>
      </c>
      <c r="D197" s="51" t="s">
        <v>52</v>
      </c>
      <c r="E197" s="42" t="s">
        <v>78</v>
      </c>
      <c r="F197" s="41" t="s">
        <v>879</v>
      </c>
      <c r="G197" s="41" t="s">
        <v>1269</v>
      </c>
      <c r="H197" s="41" t="s">
        <v>1270</v>
      </c>
      <c r="I197" s="41" t="s">
        <v>1271</v>
      </c>
      <c r="J197" s="41" t="s">
        <v>1271</v>
      </c>
      <c r="K197" s="44" t="s">
        <v>84</v>
      </c>
      <c r="L197" s="42" t="s">
        <v>155</v>
      </c>
      <c r="M197" s="42" t="s">
        <v>1272</v>
      </c>
      <c r="N197" s="45">
        <v>46360.0</v>
      </c>
      <c r="O197" s="42" t="s">
        <v>86</v>
      </c>
      <c r="P197" s="39"/>
      <c r="Q197" s="39"/>
      <c r="R197" s="39"/>
    </row>
    <row r="198" ht="120.0" customHeight="1">
      <c r="A198" s="46" t="s">
        <v>1273</v>
      </c>
      <c r="B198" s="47" t="s">
        <v>1274</v>
      </c>
      <c r="C198" s="48" t="s">
        <v>1268</v>
      </c>
      <c r="D198" s="51" t="s">
        <v>52</v>
      </c>
      <c r="E198" s="48" t="s">
        <v>78</v>
      </c>
      <c r="F198" s="47" t="s">
        <v>1275</v>
      </c>
      <c r="G198" s="47" t="s">
        <v>1276</v>
      </c>
      <c r="H198" s="47" t="s">
        <v>1277</v>
      </c>
      <c r="I198" s="47" t="s">
        <v>1278</v>
      </c>
      <c r="J198" s="47" t="s">
        <v>1278</v>
      </c>
      <c r="K198" s="44" t="s">
        <v>84</v>
      </c>
      <c r="L198" s="48" t="s">
        <v>155</v>
      </c>
      <c r="M198" s="48" t="s">
        <v>1272</v>
      </c>
      <c r="N198" s="50">
        <v>46360.0</v>
      </c>
      <c r="O198" s="48" t="s">
        <v>86</v>
      </c>
      <c r="P198" s="39"/>
      <c r="Q198" s="39"/>
      <c r="R198" s="39"/>
    </row>
    <row r="199" ht="120.0" customHeight="1">
      <c r="A199" s="40" t="s">
        <v>1279</v>
      </c>
      <c r="B199" s="41" t="s">
        <v>1280</v>
      </c>
      <c r="C199" s="42" t="s">
        <v>1268</v>
      </c>
      <c r="D199" s="51" t="s">
        <v>52</v>
      </c>
      <c r="E199" s="42" t="s">
        <v>78</v>
      </c>
      <c r="F199" s="41" t="s">
        <v>1281</v>
      </c>
      <c r="G199" s="41" t="s">
        <v>1282</v>
      </c>
      <c r="H199" s="41" t="s">
        <v>1283</v>
      </c>
      <c r="I199" s="41" t="s">
        <v>1284</v>
      </c>
      <c r="J199" s="41" t="s">
        <v>1284</v>
      </c>
      <c r="K199" s="44" t="s">
        <v>84</v>
      </c>
      <c r="L199" s="42" t="s">
        <v>155</v>
      </c>
      <c r="M199" s="42" t="s">
        <v>1272</v>
      </c>
      <c r="N199" s="45">
        <v>46360.0</v>
      </c>
      <c r="O199" s="42" t="s">
        <v>86</v>
      </c>
      <c r="P199" s="39"/>
      <c r="Q199" s="39"/>
      <c r="R199" s="39"/>
    </row>
    <row r="200" ht="120.0" customHeight="1">
      <c r="A200" s="46" t="s">
        <v>1285</v>
      </c>
      <c r="B200" s="47" t="s">
        <v>1286</v>
      </c>
      <c r="C200" s="48" t="s">
        <v>1268</v>
      </c>
      <c r="D200" s="51" t="s">
        <v>52</v>
      </c>
      <c r="E200" s="48" t="s">
        <v>78</v>
      </c>
      <c r="F200" s="47" t="s">
        <v>1287</v>
      </c>
      <c r="G200" s="47" t="s">
        <v>1288</v>
      </c>
      <c r="H200" s="47" t="s">
        <v>1277</v>
      </c>
      <c r="I200" s="47" t="s">
        <v>1289</v>
      </c>
      <c r="J200" s="47" t="s">
        <v>1289</v>
      </c>
      <c r="K200" s="44" t="s">
        <v>84</v>
      </c>
      <c r="L200" s="48" t="s">
        <v>155</v>
      </c>
      <c r="M200" s="48" t="s">
        <v>1272</v>
      </c>
      <c r="N200" s="50">
        <v>46360.0</v>
      </c>
      <c r="O200" s="48" t="s">
        <v>86</v>
      </c>
      <c r="P200" s="39"/>
      <c r="Q200" s="39"/>
      <c r="R200" s="39"/>
    </row>
    <row r="201" ht="120.0" customHeight="1">
      <c r="A201" s="40" t="s">
        <v>1290</v>
      </c>
      <c r="B201" s="41" t="s">
        <v>1291</v>
      </c>
      <c r="C201" s="42" t="s">
        <v>1268</v>
      </c>
      <c r="D201" s="51" t="s">
        <v>52</v>
      </c>
      <c r="E201" s="42" t="s">
        <v>78</v>
      </c>
      <c r="F201" s="41" t="s">
        <v>1292</v>
      </c>
      <c r="G201" s="41" t="s">
        <v>1293</v>
      </c>
      <c r="H201" s="41" t="s">
        <v>1294</v>
      </c>
      <c r="I201" s="41" t="s">
        <v>1295</v>
      </c>
      <c r="J201" s="41" t="s">
        <v>1295</v>
      </c>
      <c r="K201" s="44" t="s">
        <v>84</v>
      </c>
      <c r="L201" s="42" t="s">
        <v>155</v>
      </c>
      <c r="M201" s="42" t="s">
        <v>1272</v>
      </c>
      <c r="N201" s="45">
        <v>46360.0</v>
      </c>
      <c r="O201" s="42" t="s">
        <v>86</v>
      </c>
      <c r="P201" s="39"/>
      <c r="Q201" s="39"/>
      <c r="R201" s="39"/>
    </row>
    <row r="202" ht="120.0" customHeight="1">
      <c r="A202" s="46" t="s">
        <v>1296</v>
      </c>
      <c r="B202" s="47" t="s">
        <v>1297</v>
      </c>
      <c r="C202" s="48" t="s">
        <v>1268</v>
      </c>
      <c r="D202" s="51" t="s">
        <v>52</v>
      </c>
      <c r="E202" s="48" t="s">
        <v>78</v>
      </c>
      <c r="F202" s="47" t="s">
        <v>1292</v>
      </c>
      <c r="G202" s="47" t="s">
        <v>1298</v>
      </c>
      <c r="H202" s="47" t="s">
        <v>1299</v>
      </c>
      <c r="I202" s="47" t="s">
        <v>1300</v>
      </c>
      <c r="J202" s="47" t="s">
        <v>1300</v>
      </c>
      <c r="K202" s="44" t="s">
        <v>84</v>
      </c>
      <c r="L202" s="48" t="s">
        <v>155</v>
      </c>
      <c r="M202" s="48" t="s">
        <v>1272</v>
      </c>
      <c r="N202" s="50">
        <v>46360.0</v>
      </c>
      <c r="O202" s="48" t="s">
        <v>86</v>
      </c>
      <c r="P202" s="39"/>
      <c r="Q202" s="39"/>
      <c r="R202" s="39"/>
    </row>
    <row r="203" ht="120.0" customHeight="1">
      <c r="A203" s="40" t="s">
        <v>1301</v>
      </c>
      <c r="B203" s="41" t="s">
        <v>1302</v>
      </c>
      <c r="C203" s="42" t="s">
        <v>1268</v>
      </c>
      <c r="D203" s="51" t="s">
        <v>52</v>
      </c>
      <c r="E203" s="42" t="s">
        <v>78</v>
      </c>
      <c r="F203" s="41" t="s">
        <v>1292</v>
      </c>
      <c r="G203" s="41" t="s">
        <v>1303</v>
      </c>
      <c r="H203" s="41" t="s">
        <v>1277</v>
      </c>
      <c r="I203" s="41" t="s">
        <v>1304</v>
      </c>
      <c r="J203" s="41" t="s">
        <v>1304</v>
      </c>
      <c r="K203" s="44" t="s">
        <v>84</v>
      </c>
      <c r="L203" s="42" t="s">
        <v>155</v>
      </c>
      <c r="M203" s="42" t="s">
        <v>1272</v>
      </c>
      <c r="N203" s="45">
        <v>46360.0</v>
      </c>
      <c r="O203" s="42" t="s">
        <v>86</v>
      </c>
      <c r="P203" s="39"/>
      <c r="Q203" s="39"/>
      <c r="R203" s="39"/>
    </row>
    <row r="204" ht="120.0" customHeight="1">
      <c r="A204" s="46" t="s">
        <v>1305</v>
      </c>
      <c r="B204" s="47" t="s">
        <v>1306</v>
      </c>
      <c r="C204" s="48" t="s">
        <v>1268</v>
      </c>
      <c r="D204" s="51" t="s">
        <v>52</v>
      </c>
      <c r="E204" s="48" t="s">
        <v>78</v>
      </c>
      <c r="F204" s="47" t="s">
        <v>1307</v>
      </c>
      <c r="G204" s="47" t="s">
        <v>1308</v>
      </c>
      <c r="H204" s="47" t="s">
        <v>1277</v>
      </c>
      <c r="I204" s="47" t="s">
        <v>1309</v>
      </c>
      <c r="J204" s="47" t="s">
        <v>1309</v>
      </c>
      <c r="K204" s="44" t="s">
        <v>84</v>
      </c>
      <c r="L204" s="48" t="s">
        <v>155</v>
      </c>
      <c r="M204" s="48" t="s">
        <v>1272</v>
      </c>
      <c r="N204" s="50">
        <v>46360.0</v>
      </c>
      <c r="O204" s="48" t="s">
        <v>86</v>
      </c>
      <c r="P204" s="39"/>
      <c r="Q204" s="39"/>
      <c r="R204" s="39"/>
    </row>
    <row r="205" ht="120.0" customHeight="1">
      <c r="A205" s="40" t="s">
        <v>1310</v>
      </c>
      <c r="B205" s="41" t="s">
        <v>1311</v>
      </c>
      <c r="C205" s="42" t="s">
        <v>1268</v>
      </c>
      <c r="D205" s="51" t="s">
        <v>52</v>
      </c>
      <c r="E205" s="42" t="s">
        <v>78</v>
      </c>
      <c r="F205" s="41" t="s">
        <v>1312</v>
      </c>
      <c r="G205" s="41" t="s">
        <v>1313</v>
      </c>
      <c r="H205" s="41" t="s">
        <v>1277</v>
      </c>
      <c r="I205" s="41" t="s">
        <v>1314</v>
      </c>
      <c r="J205" s="41" t="s">
        <v>1314</v>
      </c>
      <c r="K205" s="44" t="s">
        <v>84</v>
      </c>
      <c r="L205" s="42" t="s">
        <v>155</v>
      </c>
      <c r="M205" s="42" t="s">
        <v>1272</v>
      </c>
      <c r="N205" s="45">
        <v>46360.0</v>
      </c>
      <c r="O205" s="42" t="s">
        <v>86</v>
      </c>
      <c r="P205" s="39"/>
      <c r="Q205" s="39"/>
      <c r="R205" s="39"/>
    </row>
    <row r="206" ht="120.0" customHeight="1">
      <c r="A206" s="46" t="s">
        <v>1315</v>
      </c>
      <c r="B206" s="47" t="s">
        <v>1316</v>
      </c>
      <c r="C206" s="48" t="s">
        <v>1268</v>
      </c>
      <c r="D206" s="53" t="s">
        <v>55</v>
      </c>
      <c r="E206" s="48" t="s">
        <v>78</v>
      </c>
      <c r="F206" s="47" t="s">
        <v>1317</v>
      </c>
      <c r="G206" s="47" t="s">
        <v>1318</v>
      </c>
      <c r="H206" s="47" t="s">
        <v>1270</v>
      </c>
      <c r="I206" s="47" t="s">
        <v>1319</v>
      </c>
      <c r="J206" s="47" t="s">
        <v>1319</v>
      </c>
      <c r="K206" s="44" t="s">
        <v>84</v>
      </c>
      <c r="L206" s="48" t="s">
        <v>538</v>
      </c>
      <c r="M206" s="48" t="s">
        <v>1272</v>
      </c>
      <c r="N206" s="50">
        <v>46360.0</v>
      </c>
      <c r="O206" s="48" t="s">
        <v>86</v>
      </c>
      <c r="P206" s="39"/>
      <c r="Q206" s="39"/>
      <c r="R206" s="39"/>
    </row>
    <row r="207" ht="120.0" customHeight="1">
      <c r="A207" s="40" t="s">
        <v>1320</v>
      </c>
      <c r="B207" s="41" t="s">
        <v>1321</v>
      </c>
      <c r="C207" s="42" t="s">
        <v>1268</v>
      </c>
      <c r="D207" s="53" t="s">
        <v>55</v>
      </c>
      <c r="E207" s="42" t="s">
        <v>78</v>
      </c>
      <c r="F207" s="41" t="s">
        <v>1322</v>
      </c>
      <c r="G207" s="41" t="s">
        <v>1323</v>
      </c>
      <c r="H207" s="41" t="s">
        <v>1277</v>
      </c>
      <c r="I207" s="41" t="s">
        <v>1324</v>
      </c>
      <c r="J207" s="41" t="s">
        <v>1324</v>
      </c>
      <c r="K207" s="44" t="s">
        <v>84</v>
      </c>
      <c r="L207" s="42" t="s">
        <v>538</v>
      </c>
      <c r="M207" s="42" t="s">
        <v>1272</v>
      </c>
      <c r="N207" s="45">
        <v>46360.0</v>
      </c>
      <c r="O207" s="42" t="s">
        <v>86</v>
      </c>
      <c r="P207" s="39"/>
      <c r="Q207" s="39"/>
      <c r="R207" s="39"/>
    </row>
    <row r="208" ht="120.0" customHeight="1">
      <c r="A208" s="46" t="s">
        <v>1325</v>
      </c>
      <c r="B208" s="47" t="s">
        <v>1326</v>
      </c>
      <c r="C208" s="48" t="s">
        <v>1268</v>
      </c>
      <c r="D208" s="53" t="s">
        <v>55</v>
      </c>
      <c r="E208" s="48" t="s">
        <v>78</v>
      </c>
      <c r="F208" s="47" t="s">
        <v>1322</v>
      </c>
      <c r="G208" s="47" t="s">
        <v>1327</v>
      </c>
      <c r="H208" s="47" t="s">
        <v>1277</v>
      </c>
      <c r="I208" s="47" t="s">
        <v>1328</v>
      </c>
      <c r="J208" s="47" t="s">
        <v>1328</v>
      </c>
      <c r="K208" s="44" t="s">
        <v>84</v>
      </c>
      <c r="L208" s="48" t="s">
        <v>538</v>
      </c>
      <c r="M208" s="48" t="s">
        <v>1272</v>
      </c>
      <c r="N208" s="50">
        <v>46360.0</v>
      </c>
      <c r="O208" s="48" t="s">
        <v>86</v>
      </c>
      <c r="P208" s="39"/>
      <c r="Q208" s="39"/>
      <c r="R208" s="39"/>
    </row>
    <row r="209" ht="120.0" customHeight="1">
      <c r="A209" s="40" t="s">
        <v>1329</v>
      </c>
      <c r="B209" s="41" t="s">
        <v>1330</v>
      </c>
      <c r="C209" s="42" t="s">
        <v>1268</v>
      </c>
      <c r="D209" s="53" t="s">
        <v>55</v>
      </c>
      <c r="E209" s="42" t="s">
        <v>78</v>
      </c>
      <c r="F209" s="41" t="s">
        <v>1331</v>
      </c>
      <c r="G209" s="41" t="s">
        <v>1332</v>
      </c>
      <c r="H209" s="41" t="s">
        <v>1277</v>
      </c>
      <c r="I209" s="41" t="s">
        <v>1333</v>
      </c>
      <c r="J209" s="41" t="s">
        <v>1333</v>
      </c>
      <c r="K209" s="44" t="s">
        <v>84</v>
      </c>
      <c r="L209" s="42" t="s">
        <v>538</v>
      </c>
      <c r="M209" s="42" t="s">
        <v>1272</v>
      </c>
      <c r="N209" s="45">
        <v>46360.0</v>
      </c>
      <c r="O209" s="42" t="s">
        <v>86</v>
      </c>
      <c r="P209" s="39"/>
      <c r="Q209" s="39"/>
      <c r="R209" s="39"/>
    </row>
    <row r="210" ht="120.0" customHeight="1">
      <c r="A210" s="46" t="s">
        <v>1334</v>
      </c>
      <c r="B210" s="47" t="s">
        <v>1335</v>
      </c>
      <c r="C210" s="48" t="s">
        <v>1336</v>
      </c>
      <c r="D210" s="53" t="s">
        <v>55</v>
      </c>
      <c r="E210" s="48" t="s">
        <v>776</v>
      </c>
      <c r="F210" s="47" t="s">
        <v>1337</v>
      </c>
      <c r="G210" s="47" t="s">
        <v>1338</v>
      </c>
      <c r="H210" s="47" t="s">
        <v>1339</v>
      </c>
      <c r="I210" s="47" t="s">
        <v>1340</v>
      </c>
      <c r="J210" s="47" t="s">
        <v>1340</v>
      </c>
      <c r="K210" s="44" t="s">
        <v>84</v>
      </c>
      <c r="L210" s="48" t="s">
        <v>538</v>
      </c>
      <c r="M210" s="48" t="s">
        <v>1272</v>
      </c>
      <c r="N210" s="50">
        <v>46360.0</v>
      </c>
      <c r="O210" s="48" t="s">
        <v>86</v>
      </c>
      <c r="P210" s="39"/>
      <c r="Q210" s="39"/>
      <c r="R210" s="39"/>
    </row>
    <row r="211" ht="120.0" customHeight="1">
      <c r="A211" s="40" t="s">
        <v>1341</v>
      </c>
      <c r="B211" s="41" t="s">
        <v>1342</v>
      </c>
      <c r="C211" s="42" t="s">
        <v>1336</v>
      </c>
      <c r="D211" s="53" t="s">
        <v>55</v>
      </c>
      <c r="E211" s="42" t="s">
        <v>776</v>
      </c>
      <c r="F211" s="41" t="s">
        <v>1343</v>
      </c>
      <c r="G211" s="41" t="s">
        <v>1344</v>
      </c>
      <c r="H211" s="41" t="s">
        <v>1277</v>
      </c>
      <c r="I211" s="41" t="s">
        <v>1345</v>
      </c>
      <c r="J211" s="41" t="s">
        <v>1345</v>
      </c>
      <c r="K211" s="44" t="s">
        <v>84</v>
      </c>
      <c r="L211" s="42" t="s">
        <v>538</v>
      </c>
      <c r="M211" s="42" t="s">
        <v>1272</v>
      </c>
      <c r="N211" s="45">
        <v>46360.0</v>
      </c>
      <c r="O211" s="42" t="s">
        <v>86</v>
      </c>
      <c r="P211" s="39"/>
      <c r="Q211" s="39"/>
      <c r="R211" s="39"/>
    </row>
    <row r="212" ht="120.0" customHeight="1">
      <c r="A212" s="46" t="s">
        <v>1346</v>
      </c>
      <c r="B212" s="47" t="s">
        <v>1347</v>
      </c>
      <c r="C212" s="48" t="s">
        <v>1268</v>
      </c>
      <c r="D212" s="53" t="s">
        <v>55</v>
      </c>
      <c r="E212" s="48" t="s">
        <v>78</v>
      </c>
      <c r="F212" s="47" t="s">
        <v>1292</v>
      </c>
      <c r="G212" s="47" t="s">
        <v>1348</v>
      </c>
      <c r="H212" s="47" t="s">
        <v>1349</v>
      </c>
      <c r="I212" s="47" t="s">
        <v>1350</v>
      </c>
      <c r="J212" s="47" t="s">
        <v>1350</v>
      </c>
      <c r="K212" s="44" t="s">
        <v>84</v>
      </c>
      <c r="L212" s="48" t="s">
        <v>538</v>
      </c>
      <c r="M212" s="48" t="s">
        <v>1272</v>
      </c>
      <c r="N212" s="50">
        <v>46360.0</v>
      </c>
      <c r="O212" s="48" t="s">
        <v>86</v>
      </c>
      <c r="P212" s="39"/>
      <c r="Q212" s="39"/>
      <c r="R212" s="39"/>
    </row>
    <row r="213" ht="120.0" customHeight="1">
      <c r="A213" s="40" t="s">
        <v>1351</v>
      </c>
      <c r="B213" s="41" t="s">
        <v>1352</v>
      </c>
      <c r="C213" s="42" t="s">
        <v>1268</v>
      </c>
      <c r="D213" s="53" t="s">
        <v>55</v>
      </c>
      <c r="E213" s="42" t="s">
        <v>78</v>
      </c>
      <c r="F213" s="41" t="s">
        <v>1292</v>
      </c>
      <c r="G213" s="41" t="s">
        <v>1353</v>
      </c>
      <c r="H213" s="41" t="s">
        <v>1354</v>
      </c>
      <c r="I213" s="41" t="s">
        <v>1355</v>
      </c>
      <c r="J213" s="41" t="s">
        <v>1355</v>
      </c>
      <c r="K213" s="44" t="s">
        <v>84</v>
      </c>
      <c r="L213" s="42" t="s">
        <v>538</v>
      </c>
      <c r="M213" s="42" t="s">
        <v>1272</v>
      </c>
      <c r="N213" s="45">
        <v>46360.0</v>
      </c>
      <c r="O213" s="42" t="s">
        <v>86</v>
      </c>
      <c r="P213" s="39"/>
      <c r="Q213" s="39"/>
      <c r="R213" s="39"/>
    </row>
    <row r="214" ht="120.0" customHeight="1">
      <c r="A214" s="46" t="s">
        <v>1356</v>
      </c>
      <c r="B214" s="47" t="s">
        <v>1357</v>
      </c>
      <c r="C214" s="48" t="s">
        <v>1268</v>
      </c>
      <c r="D214" s="53" t="s">
        <v>55</v>
      </c>
      <c r="E214" s="48" t="s">
        <v>78</v>
      </c>
      <c r="F214" s="47" t="s">
        <v>1292</v>
      </c>
      <c r="G214" s="47" t="s">
        <v>1358</v>
      </c>
      <c r="H214" s="47" t="s">
        <v>1359</v>
      </c>
      <c r="I214" s="47" t="s">
        <v>1360</v>
      </c>
      <c r="J214" s="47" t="s">
        <v>1360</v>
      </c>
      <c r="K214" s="44" t="s">
        <v>84</v>
      </c>
      <c r="L214" s="48" t="s">
        <v>538</v>
      </c>
      <c r="M214" s="48" t="s">
        <v>1272</v>
      </c>
      <c r="N214" s="50">
        <v>46360.0</v>
      </c>
      <c r="O214" s="48" t="s">
        <v>86</v>
      </c>
      <c r="P214" s="39"/>
      <c r="Q214" s="39"/>
      <c r="R214" s="39"/>
    </row>
    <row r="215" ht="120.0" customHeight="1">
      <c r="A215" s="40" t="s">
        <v>1361</v>
      </c>
      <c r="B215" s="41" t="s">
        <v>1362</v>
      </c>
      <c r="C215" s="42" t="s">
        <v>1268</v>
      </c>
      <c r="D215" s="53" t="s">
        <v>55</v>
      </c>
      <c r="E215" s="42" t="s">
        <v>78</v>
      </c>
      <c r="F215" s="41" t="s">
        <v>886</v>
      </c>
      <c r="G215" s="41" t="s">
        <v>1363</v>
      </c>
      <c r="H215" s="41" t="s">
        <v>1364</v>
      </c>
      <c r="I215" s="41" t="s">
        <v>1365</v>
      </c>
      <c r="J215" s="41" t="s">
        <v>1365</v>
      </c>
      <c r="K215" s="44" t="s">
        <v>84</v>
      </c>
      <c r="L215" s="42" t="s">
        <v>538</v>
      </c>
      <c r="M215" s="42" t="s">
        <v>1272</v>
      </c>
      <c r="N215" s="45">
        <v>46360.0</v>
      </c>
      <c r="O215" s="42" t="s">
        <v>86</v>
      </c>
      <c r="P215" s="39"/>
      <c r="Q215" s="39"/>
      <c r="R215" s="39"/>
    </row>
    <row r="216" ht="120.0" customHeight="1">
      <c r="A216" s="46" t="s">
        <v>1366</v>
      </c>
      <c r="B216" s="47" t="s">
        <v>1367</v>
      </c>
      <c r="C216" s="48" t="s">
        <v>1268</v>
      </c>
      <c r="D216" s="53" t="s">
        <v>55</v>
      </c>
      <c r="E216" s="48" t="s">
        <v>78</v>
      </c>
      <c r="F216" s="47" t="s">
        <v>886</v>
      </c>
      <c r="G216" s="47" t="s">
        <v>1368</v>
      </c>
      <c r="H216" s="47" t="s">
        <v>1369</v>
      </c>
      <c r="I216" s="47" t="s">
        <v>1370</v>
      </c>
      <c r="J216" s="47" t="s">
        <v>1370</v>
      </c>
      <c r="K216" s="44" t="s">
        <v>84</v>
      </c>
      <c r="L216" s="48" t="s">
        <v>538</v>
      </c>
      <c r="M216" s="48" t="s">
        <v>1272</v>
      </c>
      <c r="N216" s="50">
        <v>46360.0</v>
      </c>
      <c r="O216" s="48" t="s">
        <v>86</v>
      </c>
      <c r="P216" s="39"/>
      <c r="Q216" s="39"/>
      <c r="R216" s="39"/>
    </row>
    <row r="217" ht="120.0" customHeight="1">
      <c r="A217" s="40" t="s">
        <v>1371</v>
      </c>
      <c r="B217" s="41" t="s">
        <v>1372</v>
      </c>
      <c r="C217" s="42" t="s">
        <v>1268</v>
      </c>
      <c r="D217" s="53" t="s">
        <v>55</v>
      </c>
      <c r="E217" s="42" t="s">
        <v>78</v>
      </c>
      <c r="F217" s="41" t="s">
        <v>1307</v>
      </c>
      <c r="G217" s="41" t="s">
        <v>1373</v>
      </c>
      <c r="H217" s="41" t="s">
        <v>1277</v>
      </c>
      <c r="I217" s="41" t="s">
        <v>1374</v>
      </c>
      <c r="J217" s="41" t="s">
        <v>1374</v>
      </c>
      <c r="K217" s="44" t="s">
        <v>84</v>
      </c>
      <c r="L217" s="42" t="s">
        <v>538</v>
      </c>
      <c r="M217" s="42" t="s">
        <v>1272</v>
      </c>
      <c r="N217" s="45">
        <v>46360.0</v>
      </c>
      <c r="O217" s="42" t="s">
        <v>86</v>
      </c>
      <c r="P217" s="39"/>
      <c r="Q217" s="39"/>
      <c r="R217" s="39"/>
    </row>
    <row r="218" ht="120.0" customHeight="1">
      <c r="A218" s="46" t="s">
        <v>1375</v>
      </c>
      <c r="B218" s="47" t="s">
        <v>1376</v>
      </c>
      <c r="C218" s="48" t="s">
        <v>1268</v>
      </c>
      <c r="D218" s="53" t="s">
        <v>55</v>
      </c>
      <c r="E218" s="48" t="s">
        <v>78</v>
      </c>
      <c r="F218" s="47" t="s">
        <v>1292</v>
      </c>
      <c r="G218" s="47" t="s">
        <v>1377</v>
      </c>
      <c r="H218" s="47" t="s">
        <v>1277</v>
      </c>
      <c r="I218" s="47" t="s">
        <v>1378</v>
      </c>
      <c r="J218" s="47" t="s">
        <v>1378</v>
      </c>
      <c r="K218" s="44" t="s">
        <v>84</v>
      </c>
      <c r="L218" s="48" t="s">
        <v>538</v>
      </c>
      <c r="M218" s="48" t="s">
        <v>1272</v>
      </c>
      <c r="N218" s="50">
        <v>46360.0</v>
      </c>
      <c r="O218" s="48" t="s">
        <v>86</v>
      </c>
      <c r="P218" s="39"/>
      <c r="Q218" s="39"/>
      <c r="R218" s="39"/>
    </row>
    <row r="219" ht="120.0" customHeight="1">
      <c r="A219" s="40" t="s">
        <v>1379</v>
      </c>
      <c r="B219" s="41" t="s">
        <v>1380</v>
      </c>
      <c r="C219" s="42" t="s">
        <v>1336</v>
      </c>
      <c r="D219" s="53" t="s">
        <v>55</v>
      </c>
      <c r="E219" s="42" t="s">
        <v>776</v>
      </c>
      <c r="F219" s="41" t="s">
        <v>1381</v>
      </c>
      <c r="G219" s="41" t="s">
        <v>1382</v>
      </c>
      <c r="H219" s="41" t="s">
        <v>1277</v>
      </c>
      <c r="I219" s="41" t="s">
        <v>1383</v>
      </c>
      <c r="J219" s="41" t="s">
        <v>1383</v>
      </c>
      <c r="K219" s="44" t="s">
        <v>84</v>
      </c>
      <c r="L219" s="42" t="s">
        <v>538</v>
      </c>
      <c r="M219" s="42" t="s">
        <v>1272</v>
      </c>
      <c r="N219" s="45">
        <v>46360.0</v>
      </c>
      <c r="O219" s="42" t="s">
        <v>86</v>
      </c>
      <c r="P219" s="39"/>
      <c r="Q219" s="39"/>
      <c r="R219" s="39"/>
    </row>
    <row r="220" ht="120.0" customHeight="1">
      <c r="A220" s="46" t="s">
        <v>1384</v>
      </c>
      <c r="B220" s="47" t="s">
        <v>1385</v>
      </c>
      <c r="C220" s="48" t="s">
        <v>1336</v>
      </c>
      <c r="D220" s="55" t="s">
        <v>58</v>
      </c>
      <c r="E220" s="48" t="s">
        <v>776</v>
      </c>
      <c r="F220" s="47" t="s">
        <v>1292</v>
      </c>
      <c r="G220" s="47" t="s">
        <v>1386</v>
      </c>
      <c r="H220" s="47" t="s">
        <v>1277</v>
      </c>
      <c r="I220" s="47" t="s">
        <v>1387</v>
      </c>
      <c r="J220" s="47" t="s">
        <v>1387</v>
      </c>
      <c r="K220" s="44" t="s">
        <v>84</v>
      </c>
      <c r="L220" s="48" t="s">
        <v>781</v>
      </c>
      <c r="M220" s="48" t="s">
        <v>1272</v>
      </c>
      <c r="N220" s="50">
        <v>46360.0</v>
      </c>
      <c r="O220" s="48" t="s">
        <v>86</v>
      </c>
      <c r="P220" s="39"/>
      <c r="Q220" s="39"/>
      <c r="R220" s="39"/>
    </row>
    <row r="221" ht="120.0" customHeight="1">
      <c r="A221" s="40" t="s">
        <v>1388</v>
      </c>
      <c r="B221" s="41" t="s">
        <v>1389</v>
      </c>
      <c r="C221" s="42" t="s">
        <v>1336</v>
      </c>
      <c r="D221" s="55" t="s">
        <v>58</v>
      </c>
      <c r="E221" s="42" t="s">
        <v>776</v>
      </c>
      <c r="F221" s="41" t="s">
        <v>1292</v>
      </c>
      <c r="G221" s="41" t="s">
        <v>1390</v>
      </c>
      <c r="H221" s="41" t="s">
        <v>1277</v>
      </c>
      <c r="I221" s="41" t="s">
        <v>1391</v>
      </c>
      <c r="J221" s="41" t="s">
        <v>1391</v>
      </c>
      <c r="K221" s="44" t="s">
        <v>84</v>
      </c>
      <c r="L221" s="42" t="s">
        <v>781</v>
      </c>
      <c r="M221" s="42" t="s">
        <v>1272</v>
      </c>
      <c r="N221" s="45">
        <v>46360.0</v>
      </c>
      <c r="O221" s="42" t="s">
        <v>86</v>
      </c>
      <c r="P221" s="39"/>
      <c r="Q221" s="39"/>
      <c r="R221" s="39"/>
    </row>
    <row r="222" ht="120.0" customHeight="1">
      <c r="A222" s="46" t="s">
        <v>1392</v>
      </c>
      <c r="B222" s="47" t="s">
        <v>1393</v>
      </c>
      <c r="C222" s="48" t="s">
        <v>1336</v>
      </c>
      <c r="D222" s="55" t="s">
        <v>58</v>
      </c>
      <c r="E222" s="48" t="s">
        <v>776</v>
      </c>
      <c r="F222" s="47" t="s">
        <v>1394</v>
      </c>
      <c r="G222" s="47" t="s">
        <v>1395</v>
      </c>
      <c r="H222" s="47" t="s">
        <v>1277</v>
      </c>
      <c r="I222" s="47" t="s">
        <v>1396</v>
      </c>
      <c r="J222" s="47" t="s">
        <v>1396</v>
      </c>
      <c r="K222" s="44" t="s">
        <v>84</v>
      </c>
      <c r="L222" s="48" t="s">
        <v>781</v>
      </c>
      <c r="M222" s="48" t="s">
        <v>1272</v>
      </c>
      <c r="N222" s="50">
        <v>46360.0</v>
      </c>
      <c r="O222" s="48" t="s">
        <v>86</v>
      </c>
      <c r="P222" s="39"/>
      <c r="Q222" s="39"/>
      <c r="R222" s="39"/>
    </row>
    <row r="223" ht="120.0" customHeight="1">
      <c r="A223" s="40" t="s">
        <v>1397</v>
      </c>
      <c r="B223" s="41" t="s">
        <v>1398</v>
      </c>
      <c r="C223" s="42" t="s">
        <v>1268</v>
      </c>
      <c r="D223" s="55" t="s">
        <v>58</v>
      </c>
      <c r="E223" s="42" t="s">
        <v>78</v>
      </c>
      <c r="F223" s="41" t="s">
        <v>1292</v>
      </c>
      <c r="G223" s="41" t="s">
        <v>1399</v>
      </c>
      <c r="H223" s="41" t="s">
        <v>1277</v>
      </c>
      <c r="I223" s="41" t="s">
        <v>1400</v>
      </c>
      <c r="J223" s="41" t="s">
        <v>1401</v>
      </c>
      <c r="K223" s="44" t="s">
        <v>84</v>
      </c>
      <c r="L223" s="42" t="s">
        <v>781</v>
      </c>
      <c r="M223" s="42" t="s">
        <v>1272</v>
      </c>
      <c r="N223" s="45">
        <v>46360.0</v>
      </c>
      <c r="O223" s="42" t="s">
        <v>86</v>
      </c>
      <c r="P223" s="39"/>
      <c r="Q223" s="39"/>
      <c r="R223" s="39"/>
    </row>
    <row r="224" ht="120.0" customHeight="1">
      <c r="A224" s="46" t="s">
        <v>1402</v>
      </c>
      <c r="B224" s="47" t="s">
        <v>1403</v>
      </c>
      <c r="C224" s="48" t="s">
        <v>1336</v>
      </c>
      <c r="D224" s="55" t="s">
        <v>58</v>
      </c>
      <c r="E224" s="48" t="s">
        <v>776</v>
      </c>
      <c r="F224" s="47" t="s">
        <v>1317</v>
      </c>
      <c r="G224" s="47" t="s">
        <v>1404</v>
      </c>
      <c r="H224" s="47" t="s">
        <v>1277</v>
      </c>
      <c r="I224" s="47" t="s">
        <v>1405</v>
      </c>
      <c r="J224" s="47" t="s">
        <v>1405</v>
      </c>
      <c r="K224" s="44" t="s">
        <v>84</v>
      </c>
      <c r="L224" s="48" t="s">
        <v>781</v>
      </c>
      <c r="M224" s="48" t="s">
        <v>1272</v>
      </c>
      <c r="N224" s="50">
        <v>46360.0</v>
      </c>
      <c r="O224" s="48" t="s">
        <v>86</v>
      </c>
      <c r="P224" s="39"/>
      <c r="Q224" s="39"/>
      <c r="R224" s="39"/>
    </row>
    <row r="225" ht="120.0" customHeight="1">
      <c r="A225" s="40" t="s">
        <v>1406</v>
      </c>
      <c r="B225" s="41" t="s">
        <v>1407</v>
      </c>
      <c r="C225" s="42" t="s">
        <v>1408</v>
      </c>
      <c r="D225" s="51" t="s">
        <v>52</v>
      </c>
      <c r="E225" s="42" t="s">
        <v>78</v>
      </c>
      <c r="F225" s="41" t="s">
        <v>1409</v>
      </c>
      <c r="G225" s="41" t="s">
        <v>1410</v>
      </c>
      <c r="H225" s="41" t="s">
        <v>944</v>
      </c>
      <c r="I225" s="41" t="s">
        <v>1411</v>
      </c>
      <c r="J225" s="41" t="s">
        <v>1411</v>
      </c>
      <c r="K225" s="44" t="s">
        <v>84</v>
      </c>
      <c r="L225" s="42" t="s">
        <v>155</v>
      </c>
      <c r="M225" s="42" t="s">
        <v>1272</v>
      </c>
      <c r="N225" s="45">
        <v>46360.0</v>
      </c>
      <c r="O225" s="42" t="s">
        <v>86</v>
      </c>
      <c r="P225" s="39"/>
      <c r="Q225" s="39"/>
      <c r="R225" s="39"/>
    </row>
    <row r="226" ht="120.0" customHeight="1">
      <c r="A226" s="46" t="s">
        <v>1412</v>
      </c>
      <c r="B226" s="47" t="s">
        <v>1413</v>
      </c>
      <c r="C226" s="48" t="s">
        <v>1408</v>
      </c>
      <c r="D226" s="51" t="s">
        <v>52</v>
      </c>
      <c r="E226" s="48" t="s">
        <v>78</v>
      </c>
      <c r="F226" s="47" t="s">
        <v>1409</v>
      </c>
      <c r="G226" s="47" t="s">
        <v>1414</v>
      </c>
      <c r="H226" s="47" t="s">
        <v>944</v>
      </c>
      <c r="I226" s="47" t="s">
        <v>1415</v>
      </c>
      <c r="J226" s="47" t="s">
        <v>1415</v>
      </c>
      <c r="K226" s="44" t="s">
        <v>84</v>
      </c>
      <c r="L226" s="48" t="s">
        <v>155</v>
      </c>
      <c r="M226" s="48" t="s">
        <v>1272</v>
      </c>
      <c r="N226" s="50">
        <v>46360.0</v>
      </c>
      <c r="O226" s="48" t="s">
        <v>86</v>
      </c>
      <c r="P226" s="39"/>
      <c r="Q226" s="39"/>
      <c r="R226" s="39"/>
    </row>
    <row r="227" ht="120.0" customHeight="1">
      <c r="A227" s="40" t="s">
        <v>1416</v>
      </c>
      <c r="B227" s="41" t="s">
        <v>1417</v>
      </c>
      <c r="C227" s="42" t="s">
        <v>1408</v>
      </c>
      <c r="D227" s="51" t="s">
        <v>52</v>
      </c>
      <c r="E227" s="42" t="s">
        <v>78</v>
      </c>
      <c r="F227" s="41" t="s">
        <v>1418</v>
      </c>
      <c r="G227" s="41" t="s">
        <v>1419</v>
      </c>
      <c r="H227" s="41" t="s">
        <v>944</v>
      </c>
      <c r="I227" s="41" t="s">
        <v>1420</v>
      </c>
      <c r="J227" s="41" t="s">
        <v>1420</v>
      </c>
      <c r="K227" s="44" t="s">
        <v>84</v>
      </c>
      <c r="L227" s="42" t="s">
        <v>155</v>
      </c>
      <c r="M227" s="42" t="s">
        <v>1272</v>
      </c>
      <c r="N227" s="45">
        <v>46360.0</v>
      </c>
      <c r="O227" s="42" t="s">
        <v>86</v>
      </c>
      <c r="P227" s="39"/>
      <c r="Q227" s="39"/>
      <c r="R227" s="39"/>
    </row>
    <row r="228" ht="120.0" customHeight="1">
      <c r="A228" s="46" t="s">
        <v>1421</v>
      </c>
      <c r="B228" s="47" t="s">
        <v>1422</v>
      </c>
      <c r="C228" s="48" t="s">
        <v>1408</v>
      </c>
      <c r="D228" s="51" t="s">
        <v>52</v>
      </c>
      <c r="E228" s="48" t="s">
        <v>78</v>
      </c>
      <c r="F228" s="47" t="s">
        <v>1418</v>
      </c>
      <c r="G228" s="47" t="s">
        <v>1423</v>
      </c>
      <c r="H228" s="47" t="s">
        <v>944</v>
      </c>
      <c r="I228" s="47" t="s">
        <v>1424</v>
      </c>
      <c r="J228" s="47" t="s">
        <v>1424</v>
      </c>
      <c r="K228" s="44" t="s">
        <v>84</v>
      </c>
      <c r="L228" s="48" t="s">
        <v>155</v>
      </c>
      <c r="M228" s="48" t="s">
        <v>1272</v>
      </c>
      <c r="N228" s="50">
        <v>46360.0</v>
      </c>
      <c r="O228" s="48" t="s">
        <v>86</v>
      </c>
      <c r="P228" s="39"/>
      <c r="Q228" s="39"/>
      <c r="R228" s="39"/>
    </row>
    <row r="229" ht="120.0" customHeight="1">
      <c r="A229" s="40" t="s">
        <v>1425</v>
      </c>
      <c r="B229" s="41" t="s">
        <v>1426</v>
      </c>
      <c r="C229" s="42" t="s">
        <v>1408</v>
      </c>
      <c r="D229" s="51" t="s">
        <v>52</v>
      </c>
      <c r="E229" s="42" t="s">
        <v>78</v>
      </c>
      <c r="F229" s="41" t="s">
        <v>1418</v>
      </c>
      <c r="G229" s="41" t="s">
        <v>1427</v>
      </c>
      <c r="H229" s="41" t="s">
        <v>944</v>
      </c>
      <c r="I229" s="41" t="s">
        <v>1428</v>
      </c>
      <c r="J229" s="41" t="s">
        <v>1428</v>
      </c>
      <c r="K229" s="44" t="s">
        <v>84</v>
      </c>
      <c r="L229" s="42" t="s">
        <v>155</v>
      </c>
      <c r="M229" s="42" t="s">
        <v>1272</v>
      </c>
      <c r="N229" s="45">
        <v>46360.0</v>
      </c>
      <c r="O229" s="42" t="s">
        <v>86</v>
      </c>
      <c r="P229" s="39"/>
      <c r="Q229" s="39"/>
      <c r="R229" s="39"/>
    </row>
    <row r="230" ht="120.0" customHeight="1">
      <c r="A230" s="46" t="s">
        <v>1429</v>
      </c>
      <c r="B230" s="47" t="s">
        <v>1430</v>
      </c>
      <c r="C230" s="48" t="s">
        <v>1408</v>
      </c>
      <c r="D230" s="51" t="s">
        <v>52</v>
      </c>
      <c r="E230" s="48" t="s">
        <v>78</v>
      </c>
      <c r="F230" s="47" t="s">
        <v>1431</v>
      </c>
      <c r="G230" s="47" t="s">
        <v>1432</v>
      </c>
      <c r="H230" s="47" t="s">
        <v>944</v>
      </c>
      <c r="I230" s="47" t="s">
        <v>1433</v>
      </c>
      <c r="J230" s="47" t="s">
        <v>1433</v>
      </c>
      <c r="K230" s="44" t="s">
        <v>84</v>
      </c>
      <c r="L230" s="48" t="s">
        <v>155</v>
      </c>
      <c r="M230" s="48" t="s">
        <v>1272</v>
      </c>
      <c r="N230" s="50">
        <v>46360.0</v>
      </c>
      <c r="O230" s="48" t="s">
        <v>86</v>
      </c>
      <c r="P230" s="39"/>
      <c r="Q230" s="39"/>
      <c r="R230" s="39"/>
    </row>
    <row r="231" ht="120.0" customHeight="1">
      <c r="A231" s="40" t="s">
        <v>1434</v>
      </c>
      <c r="B231" s="41" t="s">
        <v>1435</v>
      </c>
      <c r="C231" s="42" t="s">
        <v>1408</v>
      </c>
      <c r="D231" s="51" t="s">
        <v>52</v>
      </c>
      <c r="E231" s="42" t="s">
        <v>78</v>
      </c>
      <c r="F231" s="41" t="s">
        <v>1431</v>
      </c>
      <c r="G231" s="41" t="s">
        <v>1436</v>
      </c>
      <c r="H231" s="41" t="s">
        <v>944</v>
      </c>
      <c r="I231" s="41" t="s">
        <v>1437</v>
      </c>
      <c r="J231" s="41" t="s">
        <v>1437</v>
      </c>
      <c r="K231" s="44" t="s">
        <v>84</v>
      </c>
      <c r="L231" s="42" t="s">
        <v>155</v>
      </c>
      <c r="M231" s="42" t="s">
        <v>1272</v>
      </c>
      <c r="N231" s="45">
        <v>46360.0</v>
      </c>
      <c r="O231" s="42" t="s">
        <v>86</v>
      </c>
      <c r="P231" s="39"/>
      <c r="Q231" s="39"/>
      <c r="R231" s="39"/>
    </row>
    <row r="232" ht="120.0" customHeight="1">
      <c r="A232" s="46" t="s">
        <v>1438</v>
      </c>
      <c r="B232" s="47" t="s">
        <v>1439</v>
      </c>
      <c r="C232" s="48" t="s">
        <v>1408</v>
      </c>
      <c r="D232" s="53" t="s">
        <v>55</v>
      </c>
      <c r="E232" s="48" t="s">
        <v>78</v>
      </c>
      <c r="F232" s="47" t="s">
        <v>1440</v>
      </c>
      <c r="G232" s="47" t="s">
        <v>1441</v>
      </c>
      <c r="H232" s="47" t="s">
        <v>944</v>
      </c>
      <c r="I232" s="47" t="s">
        <v>1442</v>
      </c>
      <c r="J232" s="47" t="s">
        <v>1443</v>
      </c>
      <c r="K232" s="44" t="s">
        <v>84</v>
      </c>
      <c r="L232" s="48" t="s">
        <v>538</v>
      </c>
      <c r="M232" s="48" t="s">
        <v>1272</v>
      </c>
      <c r="N232" s="50">
        <v>46360.0</v>
      </c>
      <c r="O232" s="48" t="s">
        <v>86</v>
      </c>
      <c r="P232" s="39"/>
      <c r="Q232" s="39"/>
      <c r="R232" s="39"/>
    </row>
    <row r="233" ht="120.0" customHeight="1">
      <c r="A233" s="40" t="s">
        <v>1444</v>
      </c>
      <c r="B233" s="41" t="s">
        <v>1445</v>
      </c>
      <c r="C233" s="42" t="s">
        <v>1408</v>
      </c>
      <c r="D233" s="53" t="s">
        <v>55</v>
      </c>
      <c r="E233" s="42" t="s">
        <v>78</v>
      </c>
      <c r="F233" s="41" t="s">
        <v>1446</v>
      </c>
      <c r="G233" s="41" t="s">
        <v>1447</v>
      </c>
      <c r="H233" s="41" t="s">
        <v>944</v>
      </c>
      <c r="I233" s="41" t="s">
        <v>1448</v>
      </c>
      <c r="J233" s="41" t="s">
        <v>1449</v>
      </c>
      <c r="K233" s="44" t="s">
        <v>84</v>
      </c>
      <c r="L233" s="42" t="s">
        <v>538</v>
      </c>
      <c r="M233" s="42" t="s">
        <v>1272</v>
      </c>
      <c r="N233" s="45">
        <v>46360.0</v>
      </c>
      <c r="O233" s="42" t="s">
        <v>86</v>
      </c>
      <c r="P233" s="39"/>
      <c r="Q233" s="39"/>
      <c r="R233" s="39"/>
    </row>
    <row r="234" ht="120.0" customHeight="1">
      <c r="A234" s="46" t="s">
        <v>1450</v>
      </c>
      <c r="B234" s="47" t="s">
        <v>1451</v>
      </c>
      <c r="C234" s="48" t="s">
        <v>1408</v>
      </c>
      <c r="D234" s="53" t="s">
        <v>55</v>
      </c>
      <c r="E234" s="48" t="s">
        <v>78</v>
      </c>
      <c r="F234" s="47" t="s">
        <v>1452</v>
      </c>
      <c r="G234" s="47" t="s">
        <v>1453</v>
      </c>
      <c r="H234" s="47" t="s">
        <v>944</v>
      </c>
      <c r="I234" s="47" t="s">
        <v>1454</v>
      </c>
      <c r="J234" s="47" t="s">
        <v>1455</v>
      </c>
      <c r="K234" s="44" t="s">
        <v>84</v>
      </c>
      <c r="L234" s="48" t="s">
        <v>538</v>
      </c>
      <c r="M234" s="48" t="s">
        <v>1272</v>
      </c>
      <c r="N234" s="50">
        <v>46360.0</v>
      </c>
      <c r="O234" s="48" t="s">
        <v>86</v>
      </c>
      <c r="P234" s="39"/>
      <c r="Q234" s="39"/>
      <c r="R234" s="39"/>
    </row>
    <row r="235" ht="120.0" customHeight="1">
      <c r="A235" s="40" t="s">
        <v>1456</v>
      </c>
      <c r="B235" s="41" t="s">
        <v>1457</v>
      </c>
      <c r="C235" s="42" t="s">
        <v>1458</v>
      </c>
      <c r="D235" s="53" t="s">
        <v>55</v>
      </c>
      <c r="E235" s="42" t="s">
        <v>949</v>
      </c>
      <c r="F235" s="41" t="s">
        <v>886</v>
      </c>
      <c r="G235" s="41" t="s">
        <v>1459</v>
      </c>
      <c r="H235" s="41" t="s">
        <v>944</v>
      </c>
      <c r="I235" s="41" t="s">
        <v>1460</v>
      </c>
      <c r="J235" s="41" t="s">
        <v>1461</v>
      </c>
      <c r="K235" s="44" t="s">
        <v>84</v>
      </c>
      <c r="L235" s="42" t="s">
        <v>538</v>
      </c>
      <c r="M235" s="42" t="s">
        <v>1272</v>
      </c>
      <c r="N235" s="45">
        <v>46360.0</v>
      </c>
      <c r="O235" s="42" t="s">
        <v>86</v>
      </c>
      <c r="P235" s="39"/>
      <c r="Q235" s="39"/>
      <c r="R235" s="39"/>
    </row>
    <row r="236" ht="120.0" customHeight="1">
      <c r="A236" s="46" t="s">
        <v>1462</v>
      </c>
      <c r="B236" s="47" t="s">
        <v>1463</v>
      </c>
      <c r="C236" s="48" t="s">
        <v>1464</v>
      </c>
      <c r="D236" s="53" t="s">
        <v>55</v>
      </c>
      <c r="E236" s="48" t="s">
        <v>801</v>
      </c>
      <c r="F236" s="47" t="s">
        <v>886</v>
      </c>
      <c r="G236" s="47" t="s">
        <v>1465</v>
      </c>
      <c r="H236" s="47" t="s">
        <v>944</v>
      </c>
      <c r="I236" s="47" t="s">
        <v>1466</v>
      </c>
      <c r="J236" s="47" t="s">
        <v>1467</v>
      </c>
      <c r="K236" s="44" t="s">
        <v>84</v>
      </c>
      <c r="L236" s="48" t="s">
        <v>538</v>
      </c>
      <c r="M236" s="48" t="s">
        <v>1272</v>
      </c>
      <c r="N236" s="50">
        <v>46360.0</v>
      </c>
      <c r="O236" s="48" t="s">
        <v>86</v>
      </c>
      <c r="P236" s="39"/>
      <c r="Q236" s="39"/>
      <c r="R236" s="39"/>
    </row>
    <row r="237" ht="120.0" customHeight="1">
      <c r="A237" s="40" t="s">
        <v>1468</v>
      </c>
      <c r="B237" s="41" t="s">
        <v>1469</v>
      </c>
      <c r="C237" s="42" t="s">
        <v>1458</v>
      </c>
      <c r="D237" s="53" t="s">
        <v>55</v>
      </c>
      <c r="E237" s="42" t="s">
        <v>949</v>
      </c>
      <c r="F237" s="41" t="s">
        <v>1470</v>
      </c>
      <c r="G237" s="41" t="s">
        <v>1471</v>
      </c>
      <c r="H237" s="41" t="s">
        <v>944</v>
      </c>
      <c r="I237" s="41" t="s">
        <v>1472</v>
      </c>
      <c r="J237" s="41" t="s">
        <v>1473</v>
      </c>
      <c r="K237" s="44" t="s">
        <v>84</v>
      </c>
      <c r="L237" s="42" t="s">
        <v>538</v>
      </c>
      <c r="M237" s="42" t="s">
        <v>1272</v>
      </c>
      <c r="N237" s="45">
        <v>46360.0</v>
      </c>
      <c r="O237" s="42" t="s">
        <v>86</v>
      </c>
      <c r="P237" s="39"/>
      <c r="Q237" s="39"/>
      <c r="R237" s="39"/>
    </row>
    <row r="238" ht="120.0" customHeight="1">
      <c r="A238" s="46" t="s">
        <v>1474</v>
      </c>
      <c r="B238" s="47" t="s">
        <v>1475</v>
      </c>
      <c r="C238" s="48" t="s">
        <v>1458</v>
      </c>
      <c r="D238" s="55" t="s">
        <v>58</v>
      </c>
      <c r="E238" s="48" t="s">
        <v>949</v>
      </c>
      <c r="F238" s="47" t="s">
        <v>886</v>
      </c>
      <c r="G238" s="47" t="s">
        <v>1476</v>
      </c>
      <c r="H238" s="47" t="s">
        <v>944</v>
      </c>
      <c r="I238" s="47" t="s">
        <v>1477</v>
      </c>
      <c r="J238" s="47" t="s">
        <v>1478</v>
      </c>
      <c r="K238" s="44" t="s">
        <v>84</v>
      </c>
      <c r="L238" s="48" t="s">
        <v>781</v>
      </c>
      <c r="M238" s="48" t="s">
        <v>1272</v>
      </c>
      <c r="N238" s="50">
        <v>46360.0</v>
      </c>
      <c r="O238" s="48" t="s">
        <v>86</v>
      </c>
      <c r="P238" s="39"/>
      <c r="Q238" s="39"/>
      <c r="R238" s="39"/>
    </row>
    <row r="239" ht="120.0" customHeight="1">
      <c r="A239" s="40" t="s">
        <v>1479</v>
      </c>
      <c r="B239" s="41" t="s">
        <v>1480</v>
      </c>
      <c r="C239" s="42" t="s">
        <v>1458</v>
      </c>
      <c r="D239" s="55" t="s">
        <v>58</v>
      </c>
      <c r="E239" s="42" t="s">
        <v>949</v>
      </c>
      <c r="F239" s="41" t="s">
        <v>1481</v>
      </c>
      <c r="G239" s="41" t="s">
        <v>1482</v>
      </c>
      <c r="H239" s="41" t="s">
        <v>944</v>
      </c>
      <c r="I239" s="41" t="s">
        <v>1483</v>
      </c>
      <c r="J239" s="41" t="s">
        <v>1484</v>
      </c>
      <c r="K239" s="44" t="s">
        <v>84</v>
      </c>
      <c r="L239" s="42" t="s">
        <v>781</v>
      </c>
      <c r="M239" s="42" t="s">
        <v>1272</v>
      </c>
      <c r="N239" s="45">
        <v>46360.0</v>
      </c>
      <c r="O239" s="42" t="s">
        <v>86</v>
      </c>
      <c r="P239" s="39"/>
      <c r="Q239" s="39"/>
      <c r="R239" s="39"/>
    </row>
    <row r="240" ht="120.0" customHeight="1">
      <c r="A240" s="46" t="s">
        <v>1485</v>
      </c>
      <c r="B240" s="47" t="s">
        <v>1486</v>
      </c>
      <c r="C240" s="48" t="s">
        <v>1464</v>
      </c>
      <c r="D240" s="55" t="s">
        <v>58</v>
      </c>
      <c r="E240" s="48" t="s">
        <v>801</v>
      </c>
      <c r="F240" s="47" t="s">
        <v>1487</v>
      </c>
      <c r="G240" s="47" t="s">
        <v>1488</v>
      </c>
      <c r="H240" s="47" t="s">
        <v>944</v>
      </c>
      <c r="I240" s="47" t="s">
        <v>1489</v>
      </c>
      <c r="J240" s="47" t="s">
        <v>1490</v>
      </c>
      <c r="K240" s="44" t="s">
        <v>84</v>
      </c>
      <c r="L240" s="48" t="s">
        <v>781</v>
      </c>
      <c r="M240" s="48" t="s">
        <v>1272</v>
      </c>
      <c r="N240" s="50">
        <v>46360.0</v>
      </c>
      <c r="O240" s="48" t="s">
        <v>86</v>
      </c>
      <c r="P240" s="39"/>
      <c r="Q240" s="39"/>
      <c r="R240" s="39"/>
    </row>
    <row r="241" ht="120.0" customHeight="1">
      <c r="A241" s="40" t="s">
        <v>1491</v>
      </c>
      <c r="B241" s="41" t="s">
        <v>1492</v>
      </c>
      <c r="C241" s="42" t="s">
        <v>1493</v>
      </c>
      <c r="D241" s="51" t="s">
        <v>52</v>
      </c>
      <c r="E241" s="42" t="s">
        <v>1494</v>
      </c>
      <c r="F241" s="41" t="s">
        <v>1495</v>
      </c>
      <c r="G241" s="41" t="s">
        <v>1496</v>
      </c>
      <c r="H241" s="41" t="s">
        <v>1497</v>
      </c>
      <c r="I241" s="41" t="s">
        <v>1498</v>
      </c>
      <c r="J241" s="41" t="s">
        <v>1499</v>
      </c>
      <c r="K241" s="44" t="s">
        <v>84</v>
      </c>
      <c r="L241" s="42" t="s">
        <v>538</v>
      </c>
      <c r="M241" s="42" t="s">
        <v>1500</v>
      </c>
      <c r="N241" s="45">
        <v>46360.0</v>
      </c>
      <c r="O241" s="42" t="s">
        <v>86</v>
      </c>
      <c r="P241" s="39"/>
      <c r="Q241" s="39"/>
      <c r="R241" s="39"/>
    </row>
    <row r="242" ht="120.0" customHeight="1">
      <c r="A242" s="46" t="s">
        <v>1501</v>
      </c>
      <c r="B242" s="47" t="s">
        <v>1502</v>
      </c>
      <c r="C242" s="48" t="s">
        <v>1493</v>
      </c>
      <c r="D242" s="53" t="s">
        <v>55</v>
      </c>
      <c r="E242" s="48" t="s">
        <v>1494</v>
      </c>
      <c r="F242" s="47" t="s">
        <v>1503</v>
      </c>
      <c r="G242" s="47" t="s">
        <v>1504</v>
      </c>
      <c r="H242" s="47" t="s">
        <v>1505</v>
      </c>
      <c r="I242" s="47" t="s">
        <v>1506</v>
      </c>
      <c r="J242" s="47" t="s">
        <v>1507</v>
      </c>
      <c r="K242" s="44" t="s">
        <v>84</v>
      </c>
      <c r="L242" s="48" t="s">
        <v>1508</v>
      </c>
      <c r="M242" s="48" t="s">
        <v>1500</v>
      </c>
      <c r="N242" s="50">
        <v>46360.0</v>
      </c>
      <c r="O242" s="48" t="s">
        <v>86</v>
      </c>
      <c r="P242" s="39"/>
      <c r="Q242" s="39"/>
      <c r="R242" s="39"/>
    </row>
    <row r="243" ht="120.0" customHeight="1">
      <c r="A243" s="40" t="s">
        <v>1509</v>
      </c>
      <c r="B243" s="41" t="s">
        <v>1510</v>
      </c>
      <c r="C243" s="42" t="s">
        <v>1511</v>
      </c>
      <c r="D243" s="53" t="s">
        <v>55</v>
      </c>
      <c r="E243" s="42" t="s">
        <v>1494</v>
      </c>
      <c r="F243" s="41" t="s">
        <v>1512</v>
      </c>
      <c r="G243" s="41" t="s">
        <v>1513</v>
      </c>
      <c r="H243" s="41" t="s">
        <v>1514</v>
      </c>
      <c r="I243" s="41" t="s">
        <v>1515</v>
      </c>
      <c r="J243" s="41" t="s">
        <v>1516</v>
      </c>
      <c r="K243" s="44" t="s">
        <v>84</v>
      </c>
      <c r="L243" s="42" t="s">
        <v>1508</v>
      </c>
      <c r="M243" s="42" t="s">
        <v>1500</v>
      </c>
      <c r="N243" s="45">
        <v>46360.0</v>
      </c>
      <c r="O243" s="42" t="s">
        <v>86</v>
      </c>
      <c r="P243" s="39"/>
      <c r="Q243" s="39"/>
      <c r="R243" s="39"/>
    </row>
    <row r="244" ht="120.0" customHeight="1">
      <c r="A244" s="46" t="s">
        <v>1517</v>
      </c>
      <c r="B244" s="47" t="s">
        <v>1518</v>
      </c>
      <c r="C244" s="48" t="s">
        <v>1519</v>
      </c>
      <c r="D244" s="51" t="s">
        <v>52</v>
      </c>
      <c r="E244" s="48" t="s">
        <v>1520</v>
      </c>
      <c r="F244" s="47" t="s">
        <v>1521</v>
      </c>
      <c r="G244" s="47" t="s">
        <v>1522</v>
      </c>
      <c r="H244" s="47" t="s">
        <v>1523</v>
      </c>
      <c r="I244" s="47" t="s">
        <v>1524</v>
      </c>
      <c r="J244" s="47" t="s">
        <v>1525</v>
      </c>
      <c r="K244" s="44" t="s">
        <v>84</v>
      </c>
      <c r="L244" s="48" t="s">
        <v>155</v>
      </c>
      <c r="M244" s="48" t="s">
        <v>1500</v>
      </c>
      <c r="N244" s="50">
        <v>46360.0</v>
      </c>
      <c r="O244" s="48" t="s">
        <v>86</v>
      </c>
      <c r="P244" s="39"/>
      <c r="Q244" s="39"/>
      <c r="R244" s="39"/>
    </row>
    <row r="245" ht="120.0" customHeight="1">
      <c r="A245" s="40" t="s">
        <v>1526</v>
      </c>
      <c r="B245" s="41" t="s">
        <v>1527</v>
      </c>
      <c r="C245" s="42" t="s">
        <v>1528</v>
      </c>
      <c r="D245" s="53" t="s">
        <v>55</v>
      </c>
      <c r="E245" s="42" t="s">
        <v>1494</v>
      </c>
      <c r="F245" s="41" t="s">
        <v>1529</v>
      </c>
      <c r="G245" s="41" t="s">
        <v>1530</v>
      </c>
      <c r="H245" s="41" t="s">
        <v>1531</v>
      </c>
      <c r="I245" s="41" t="s">
        <v>1532</v>
      </c>
      <c r="J245" s="41" t="s">
        <v>1533</v>
      </c>
      <c r="K245" s="44" t="s">
        <v>84</v>
      </c>
      <c r="L245" s="42" t="s">
        <v>1508</v>
      </c>
      <c r="M245" s="42" t="s">
        <v>1500</v>
      </c>
      <c r="N245" s="45">
        <v>46360.0</v>
      </c>
      <c r="O245" s="42" t="s">
        <v>86</v>
      </c>
      <c r="P245" s="39"/>
      <c r="Q245" s="39"/>
      <c r="R245" s="39"/>
    </row>
    <row r="246" ht="120.0" customHeight="1">
      <c r="A246" s="46" t="s">
        <v>1534</v>
      </c>
      <c r="B246" s="47" t="s">
        <v>1535</v>
      </c>
      <c r="C246" s="48" t="s">
        <v>1493</v>
      </c>
      <c r="D246" s="53" t="s">
        <v>55</v>
      </c>
      <c r="E246" s="48" t="s">
        <v>1494</v>
      </c>
      <c r="F246" s="47" t="s">
        <v>1536</v>
      </c>
      <c r="G246" s="47" t="s">
        <v>1537</v>
      </c>
      <c r="H246" s="47" t="s">
        <v>1538</v>
      </c>
      <c r="I246" s="47" t="s">
        <v>1539</v>
      </c>
      <c r="J246" s="47" t="s">
        <v>1540</v>
      </c>
      <c r="K246" s="44" t="s">
        <v>84</v>
      </c>
      <c r="L246" s="48" t="s">
        <v>538</v>
      </c>
      <c r="M246" s="48" t="s">
        <v>1500</v>
      </c>
      <c r="N246" s="50">
        <v>46360.0</v>
      </c>
      <c r="O246" s="48" t="s">
        <v>86</v>
      </c>
      <c r="P246" s="39"/>
      <c r="Q246" s="39"/>
      <c r="R246" s="39"/>
    </row>
    <row r="247" ht="120.0" customHeight="1">
      <c r="A247" s="40" t="s">
        <v>1541</v>
      </c>
      <c r="B247" s="41" t="s">
        <v>1542</v>
      </c>
      <c r="C247" s="42" t="s">
        <v>1528</v>
      </c>
      <c r="D247" s="53" t="s">
        <v>55</v>
      </c>
      <c r="E247" s="42" t="s">
        <v>1494</v>
      </c>
      <c r="F247" s="41" t="s">
        <v>1543</v>
      </c>
      <c r="G247" s="41" t="s">
        <v>1544</v>
      </c>
      <c r="H247" s="41" t="s">
        <v>1545</v>
      </c>
      <c r="I247" s="41" t="s">
        <v>1546</v>
      </c>
      <c r="J247" s="41" t="s">
        <v>1547</v>
      </c>
      <c r="K247" s="44" t="s">
        <v>84</v>
      </c>
      <c r="L247" s="42" t="s">
        <v>1508</v>
      </c>
      <c r="M247" s="42" t="s">
        <v>1500</v>
      </c>
      <c r="N247" s="45">
        <v>46360.0</v>
      </c>
      <c r="O247" s="42" t="s">
        <v>86</v>
      </c>
      <c r="P247" s="39"/>
      <c r="Q247" s="39"/>
      <c r="R247" s="39"/>
    </row>
    <row r="248" ht="120.0" customHeight="1">
      <c r="A248" s="46" t="s">
        <v>1548</v>
      </c>
      <c r="B248" s="47" t="s">
        <v>1549</v>
      </c>
      <c r="C248" s="48" t="s">
        <v>1550</v>
      </c>
      <c r="D248" s="51" t="s">
        <v>52</v>
      </c>
      <c r="E248" s="48" t="s">
        <v>1520</v>
      </c>
      <c r="F248" s="47" t="s">
        <v>1551</v>
      </c>
      <c r="G248" s="47" t="s">
        <v>1552</v>
      </c>
      <c r="H248" s="47" t="s">
        <v>1553</v>
      </c>
      <c r="I248" s="47" t="s">
        <v>1554</v>
      </c>
      <c r="J248" s="47" t="s">
        <v>1555</v>
      </c>
      <c r="K248" s="44" t="s">
        <v>84</v>
      </c>
      <c r="L248" s="48" t="s">
        <v>1508</v>
      </c>
      <c r="M248" s="48" t="s">
        <v>1500</v>
      </c>
      <c r="N248" s="50">
        <v>46360.0</v>
      </c>
      <c r="O248" s="48" t="s">
        <v>86</v>
      </c>
      <c r="P248" s="39"/>
      <c r="Q248" s="39"/>
      <c r="R248" s="39"/>
    </row>
    <row r="249" ht="120.0" customHeight="1">
      <c r="A249" s="40" t="s">
        <v>1556</v>
      </c>
      <c r="B249" s="41" t="s">
        <v>1557</v>
      </c>
      <c r="C249" s="42" t="s">
        <v>1550</v>
      </c>
      <c r="D249" s="53" t="s">
        <v>55</v>
      </c>
      <c r="E249" s="42" t="s">
        <v>1494</v>
      </c>
      <c r="F249" s="41" t="s">
        <v>1558</v>
      </c>
      <c r="G249" s="41" t="s">
        <v>1559</v>
      </c>
      <c r="H249" s="41" t="s">
        <v>1560</v>
      </c>
      <c r="I249" s="41" t="s">
        <v>1561</v>
      </c>
      <c r="J249" s="41" t="s">
        <v>1562</v>
      </c>
      <c r="K249" s="44" t="s">
        <v>84</v>
      </c>
      <c r="L249" s="42" t="s">
        <v>1508</v>
      </c>
      <c r="M249" s="42" t="s">
        <v>1500</v>
      </c>
      <c r="N249" s="45">
        <v>46360.0</v>
      </c>
      <c r="O249" s="42" t="s">
        <v>86</v>
      </c>
      <c r="P249" s="39"/>
      <c r="Q249" s="39"/>
      <c r="R249" s="39"/>
    </row>
    <row r="250" ht="120.0" customHeight="1">
      <c r="A250" s="46" t="s">
        <v>1563</v>
      </c>
      <c r="B250" s="47" t="s">
        <v>1564</v>
      </c>
      <c r="C250" s="48" t="s">
        <v>1550</v>
      </c>
      <c r="D250" s="53" t="s">
        <v>55</v>
      </c>
      <c r="E250" s="48" t="s">
        <v>1565</v>
      </c>
      <c r="F250" s="47" t="s">
        <v>1566</v>
      </c>
      <c r="G250" s="47" t="s">
        <v>1567</v>
      </c>
      <c r="H250" s="47" t="s">
        <v>1568</v>
      </c>
      <c r="I250" s="47" t="s">
        <v>1569</v>
      </c>
      <c r="J250" s="47" t="s">
        <v>1570</v>
      </c>
      <c r="K250" s="44" t="s">
        <v>84</v>
      </c>
      <c r="L250" s="48" t="s">
        <v>1508</v>
      </c>
      <c r="M250" s="48" t="s">
        <v>1500</v>
      </c>
      <c r="N250" s="50">
        <v>46360.0</v>
      </c>
      <c r="O250" s="48" t="s">
        <v>86</v>
      </c>
      <c r="P250" s="39"/>
      <c r="Q250" s="39"/>
      <c r="R250" s="39"/>
    </row>
    <row r="251" ht="120.0" customHeight="1">
      <c r="A251" s="40" t="s">
        <v>1571</v>
      </c>
      <c r="B251" s="41" t="s">
        <v>1572</v>
      </c>
      <c r="C251" s="42" t="s">
        <v>1550</v>
      </c>
      <c r="D251" s="51" t="s">
        <v>52</v>
      </c>
      <c r="E251" s="42" t="s">
        <v>1565</v>
      </c>
      <c r="F251" s="41" t="s">
        <v>1573</v>
      </c>
      <c r="G251" s="41" t="s">
        <v>1574</v>
      </c>
      <c r="H251" s="41" t="s">
        <v>1575</v>
      </c>
      <c r="I251" s="41" t="s">
        <v>1576</v>
      </c>
      <c r="J251" s="41" t="s">
        <v>1577</v>
      </c>
      <c r="K251" s="44" t="s">
        <v>84</v>
      </c>
      <c r="L251" s="42" t="s">
        <v>1508</v>
      </c>
      <c r="M251" s="42" t="s">
        <v>1500</v>
      </c>
      <c r="N251" s="45">
        <v>46360.0</v>
      </c>
      <c r="O251" s="42" t="s">
        <v>86</v>
      </c>
      <c r="P251" s="39"/>
      <c r="Q251" s="39"/>
      <c r="R251" s="39"/>
    </row>
    <row r="252" ht="120.0" customHeight="1">
      <c r="A252" s="46" t="s">
        <v>1578</v>
      </c>
      <c r="B252" s="47" t="s">
        <v>1579</v>
      </c>
      <c r="C252" s="48" t="s">
        <v>1550</v>
      </c>
      <c r="D252" s="53" t="s">
        <v>55</v>
      </c>
      <c r="E252" s="48" t="s">
        <v>1580</v>
      </c>
      <c r="F252" s="47" t="s">
        <v>1581</v>
      </c>
      <c r="G252" s="47" t="s">
        <v>1582</v>
      </c>
      <c r="H252" s="47" t="s">
        <v>1583</v>
      </c>
      <c r="I252" s="47" t="s">
        <v>1584</v>
      </c>
      <c r="J252" s="47" t="s">
        <v>1585</v>
      </c>
      <c r="K252" s="44" t="s">
        <v>84</v>
      </c>
      <c r="L252" s="48" t="s">
        <v>1508</v>
      </c>
      <c r="M252" s="48" t="s">
        <v>1500</v>
      </c>
      <c r="N252" s="50">
        <v>46360.0</v>
      </c>
      <c r="O252" s="48" t="s">
        <v>86</v>
      </c>
      <c r="P252" s="39"/>
      <c r="Q252" s="39"/>
      <c r="R252" s="39"/>
    </row>
    <row r="253" ht="120.0" customHeight="1">
      <c r="A253" s="40" t="s">
        <v>1586</v>
      </c>
      <c r="B253" s="41" t="s">
        <v>1587</v>
      </c>
      <c r="C253" s="42" t="s">
        <v>1550</v>
      </c>
      <c r="D253" s="53" t="s">
        <v>55</v>
      </c>
      <c r="E253" s="42" t="s">
        <v>1494</v>
      </c>
      <c r="F253" s="41" t="s">
        <v>1588</v>
      </c>
      <c r="G253" s="41" t="s">
        <v>1589</v>
      </c>
      <c r="H253" s="41" t="s">
        <v>1590</v>
      </c>
      <c r="I253" s="41" t="s">
        <v>1591</v>
      </c>
      <c r="J253" s="41" t="s">
        <v>1592</v>
      </c>
      <c r="K253" s="44" t="s">
        <v>84</v>
      </c>
      <c r="L253" s="42" t="s">
        <v>1508</v>
      </c>
      <c r="M253" s="42" t="s">
        <v>1500</v>
      </c>
      <c r="N253" s="45">
        <v>46360.0</v>
      </c>
      <c r="O253" s="42" t="s">
        <v>86</v>
      </c>
      <c r="P253" s="39"/>
      <c r="Q253" s="39"/>
      <c r="R253" s="39"/>
    </row>
    <row r="254" ht="120.0" customHeight="1">
      <c r="A254" s="46" t="s">
        <v>1593</v>
      </c>
      <c r="B254" s="47" t="s">
        <v>1594</v>
      </c>
      <c r="C254" s="48" t="s">
        <v>1550</v>
      </c>
      <c r="D254" s="51" t="s">
        <v>52</v>
      </c>
      <c r="E254" s="48" t="s">
        <v>1595</v>
      </c>
      <c r="F254" s="47" t="s">
        <v>1596</v>
      </c>
      <c r="G254" s="47" t="s">
        <v>1597</v>
      </c>
      <c r="H254" s="47" t="s">
        <v>1598</v>
      </c>
      <c r="I254" s="47" t="s">
        <v>1599</v>
      </c>
      <c r="J254" s="47" t="s">
        <v>1600</v>
      </c>
      <c r="K254" s="44" t="s">
        <v>84</v>
      </c>
      <c r="L254" s="48" t="s">
        <v>1508</v>
      </c>
      <c r="M254" s="48" t="s">
        <v>1500</v>
      </c>
      <c r="N254" s="50">
        <v>46360.0</v>
      </c>
      <c r="O254" s="48" t="s">
        <v>86</v>
      </c>
      <c r="P254" s="39"/>
      <c r="Q254" s="39"/>
      <c r="R254" s="39"/>
    </row>
    <row r="255" ht="120.0" customHeight="1">
      <c r="A255" s="40" t="s">
        <v>1601</v>
      </c>
      <c r="B255" s="41" t="s">
        <v>1602</v>
      </c>
      <c r="C255" s="42" t="s">
        <v>1550</v>
      </c>
      <c r="D255" s="51" t="s">
        <v>52</v>
      </c>
      <c r="E255" s="42" t="s">
        <v>1520</v>
      </c>
      <c r="F255" s="41" t="s">
        <v>1603</v>
      </c>
      <c r="G255" s="41" t="s">
        <v>1604</v>
      </c>
      <c r="H255" s="41" t="s">
        <v>1605</v>
      </c>
      <c r="I255" s="41" t="s">
        <v>1606</v>
      </c>
      <c r="J255" s="41" t="s">
        <v>1607</v>
      </c>
      <c r="K255" s="44" t="s">
        <v>84</v>
      </c>
      <c r="L255" s="42" t="s">
        <v>1508</v>
      </c>
      <c r="M255" s="42" t="s">
        <v>1500</v>
      </c>
      <c r="N255" s="45">
        <v>46360.0</v>
      </c>
      <c r="O255" s="42" t="s">
        <v>86</v>
      </c>
      <c r="P255" s="39"/>
      <c r="Q255" s="39"/>
      <c r="R255" s="39"/>
    </row>
    <row r="256" ht="120.0" customHeight="1">
      <c r="A256" s="46" t="s">
        <v>1608</v>
      </c>
      <c r="B256" s="47" t="s">
        <v>1609</v>
      </c>
      <c r="C256" s="48" t="s">
        <v>1550</v>
      </c>
      <c r="D256" s="51" t="s">
        <v>52</v>
      </c>
      <c r="E256" s="48" t="s">
        <v>1520</v>
      </c>
      <c r="F256" s="47" t="s">
        <v>1610</v>
      </c>
      <c r="G256" s="47" t="s">
        <v>1611</v>
      </c>
      <c r="H256" s="47" t="s">
        <v>1612</v>
      </c>
      <c r="I256" s="47" t="s">
        <v>1613</v>
      </c>
      <c r="J256" s="47" t="s">
        <v>1614</v>
      </c>
      <c r="K256" s="44" t="s">
        <v>84</v>
      </c>
      <c r="L256" s="48" t="s">
        <v>1508</v>
      </c>
      <c r="M256" s="48" t="s">
        <v>1500</v>
      </c>
      <c r="N256" s="50">
        <v>46360.0</v>
      </c>
      <c r="O256" s="48" t="s">
        <v>86</v>
      </c>
      <c r="P256" s="39"/>
      <c r="Q256" s="39"/>
      <c r="R256" s="39"/>
    </row>
    <row r="257" ht="120.0" customHeight="1">
      <c r="A257" s="40" t="s">
        <v>1615</v>
      </c>
      <c r="B257" s="41" t="s">
        <v>1616</v>
      </c>
      <c r="C257" s="42" t="s">
        <v>1550</v>
      </c>
      <c r="D257" s="51" t="s">
        <v>52</v>
      </c>
      <c r="E257" s="42" t="s">
        <v>1520</v>
      </c>
      <c r="F257" s="41" t="s">
        <v>1617</v>
      </c>
      <c r="G257" s="41" t="s">
        <v>1618</v>
      </c>
      <c r="H257" s="41" t="s">
        <v>1619</v>
      </c>
      <c r="I257" s="41" t="s">
        <v>1620</v>
      </c>
      <c r="J257" s="41" t="s">
        <v>1621</v>
      </c>
      <c r="K257" s="44" t="s">
        <v>84</v>
      </c>
      <c r="L257" s="42" t="s">
        <v>1508</v>
      </c>
      <c r="M257" s="42" t="s">
        <v>1500</v>
      </c>
      <c r="N257" s="45">
        <v>46360.0</v>
      </c>
      <c r="O257" s="42" t="s">
        <v>86</v>
      </c>
      <c r="P257" s="39"/>
      <c r="Q257" s="39"/>
      <c r="R257" s="39"/>
    </row>
    <row r="258" ht="120.0" customHeight="1">
      <c r="A258" s="46" t="s">
        <v>1622</v>
      </c>
      <c r="B258" s="47" t="s">
        <v>1623</v>
      </c>
      <c r="C258" s="48" t="s">
        <v>1550</v>
      </c>
      <c r="D258" s="51" t="s">
        <v>52</v>
      </c>
      <c r="E258" s="48" t="s">
        <v>1520</v>
      </c>
      <c r="F258" s="47" t="s">
        <v>1624</v>
      </c>
      <c r="G258" s="47" t="s">
        <v>1625</v>
      </c>
      <c r="H258" s="47" t="s">
        <v>1626</v>
      </c>
      <c r="I258" s="47" t="s">
        <v>1627</v>
      </c>
      <c r="J258" s="47" t="s">
        <v>1628</v>
      </c>
      <c r="K258" s="44" t="s">
        <v>84</v>
      </c>
      <c r="L258" s="48" t="s">
        <v>1508</v>
      </c>
      <c r="M258" s="48" t="s">
        <v>1500</v>
      </c>
      <c r="N258" s="50">
        <v>46360.0</v>
      </c>
      <c r="O258" s="48" t="s">
        <v>86</v>
      </c>
      <c r="P258" s="39"/>
      <c r="Q258" s="39"/>
      <c r="R258" s="39"/>
    </row>
    <row r="259" ht="120.0" customHeight="1">
      <c r="A259" s="40" t="s">
        <v>1629</v>
      </c>
      <c r="B259" s="41" t="s">
        <v>1630</v>
      </c>
      <c r="C259" s="42" t="s">
        <v>1493</v>
      </c>
      <c r="D259" s="51" t="s">
        <v>52</v>
      </c>
      <c r="E259" s="42" t="s">
        <v>1520</v>
      </c>
      <c r="F259" s="41" t="s">
        <v>1631</v>
      </c>
      <c r="G259" s="41" t="s">
        <v>1632</v>
      </c>
      <c r="H259" s="41" t="s">
        <v>1633</v>
      </c>
      <c r="I259" s="41" t="s">
        <v>1634</v>
      </c>
      <c r="J259" s="41" t="s">
        <v>1635</v>
      </c>
      <c r="K259" s="44" t="s">
        <v>84</v>
      </c>
      <c r="L259" s="42" t="s">
        <v>1508</v>
      </c>
      <c r="M259" s="42" t="s">
        <v>1500</v>
      </c>
      <c r="N259" s="45">
        <v>46360.0</v>
      </c>
      <c r="O259" s="42" t="s">
        <v>86</v>
      </c>
      <c r="P259" s="39"/>
      <c r="Q259" s="39"/>
      <c r="R259" s="39"/>
    </row>
    <row r="260" ht="120.0" customHeight="1">
      <c r="A260" s="46" t="s">
        <v>1636</v>
      </c>
      <c r="B260" s="47" t="s">
        <v>1637</v>
      </c>
      <c r="C260" s="48" t="s">
        <v>1493</v>
      </c>
      <c r="D260" s="51" t="s">
        <v>52</v>
      </c>
      <c r="E260" s="48" t="s">
        <v>1520</v>
      </c>
      <c r="F260" s="47" t="s">
        <v>1638</v>
      </c>
      <c r="G260" s="47" t="s">
        <v>1639</v>
      </c>
      <c r="H260" s="47" t="s">
        <v>1619</v>
      </c>
      <c r="I260" s="47" t="s">
        <v>1640</v>
      </c>
      <c r="J260" s="47" t="s">
        <v>1641</v>
      </c>
      <c r="K260" s="44" t="s">
        <v>84</v>
      </c>
      <c r="L260" s="48" t="s">
        <v>1508</v>
      </c>
      <c r="M260" s="48" t="s">
        <v>1500</v>
      </c>
      <c r="N260" s="50">
        <v>46360.0</v>
      </c>
      <c r="O260" s="48" t="s">
        <v>86</v>
      </c>
      <c r="P260" s="39"/>
      <c r="Q260" s="39"/>
      <c r="R260" s="39"/>
    </row>
    <row r="261" ht="120.0" customHeight="1">
      <c r="A261" s="40" t="s">
        <v>1642</v>
      </c>
      <c r="B261" s="41" t="s">
        <v>1643</v>
      </c>
      <c r="C261" s="42" t="s">
        <v>1493</v>
      </c>
      <c r="D261" s="51" t="s">
        <v>52</v>
      </c>
      <c r="E261" s="42" t="s">
        <v>1520</v>
      </c>
      <c r="F261" s="41" t="s">
        <v>1644</v>
      </c>
      <c r="G261" s="41" t="s">
        <v>1645</v>
      </c>
      <c r="H261" s="41" t="s">
        <v>1646</v>
      </c>
      <c r="I261" s="41" t="s">
        <v>1647</v>
      </c>
      <c r="J261" s="41" t="s">
        <v>1648</v>
      </c>
      <c r="K261" s="44" t="s">
        <v>84</v>
      </c>
      <c r="L261" s="42" t="s">
        <v>1508</v>
      </c>
      <c r="M261" s="42" t="s">
        <v>1500</v>
      </c>
      <c r="N261" s="45">
        <v>46360.0</v>
      </c>
      <c r="O261" s="42" t="s">
        <v>86</v>
      </c>
      <c r="P261" s="39"/>
      <c r="Q261" s="39"/>
      <c r="R261" s="39"/>
    </row>
    <row r="262" ht="120.0" customHeight="1">
      <c r="A262" s="46" t="s">
        <v>1649</v>
      </c>
      <c r="B262" s="47" t="s">
        <v>1650</v>
      </c>
      <c r="C262" s="48" t="s">
        <v>1493</v>
      </c>
      <c r="D262" s="51" t="s">
        <v>52</v>
      </c>
      <c r="E262" s="48" t="s">
        <v>1520</v>
      </c>
      <c r="F262" s="47" t="s">
        <v>1651</v>
      </c>
      <c r="G262" s="47" t="s">
        <v>1652</v>
      </c>
      <c r="H262" s="47" t="s">
        <v>1653</v>
      </c>
      <c r="I262" s="47" t="s">
        <v>1654</v>
      </c>
      <c r="J262" s="47" t="s">
        <v>1655</v>
      </c>
      <c r="K262" s="44" t="s">
        <v>84</v>
      </c>
      <c r="L262" s="48" t="s">
        <v>1508</v>
      </c>
      <c r="M262" s="48" t="s">
        <v>1500</v>
      </c>
      <c r="N262" s="50">
        <v>46360.0</v>
      </c>
      <c r="O262" s="48" t="s">
        <v>86</v>
      </c>
      <c r="P262" s="39"/>
      <c r="Q262" s="39"/>
      <c r="R262" s="39"/>
    </row>
    <row r="263" ht="120.0" customHeight="1">
      <c r="A263" s="40" t="s">
        <v>1656</v>
      </c>
      <c r="B263" s="41" t="s">
        <v>1657</v>
      </c>
      <c r="C263" s="42" t="s">
        <v>1658</v>
      </c>
      <c r="D263" s="51" t="s">
        <v>52</v>
      </c>
      <c r="E263" s="42" t="s">
        <v>1580</v>
      </c>
      <c r="F263" s="41" t="s">
        <v>1659</v>
      </c>
      <c r="G263" s="41" t="s">
        <v>1660</v>
      </c>
      <c r="H263" s="41" t="s">
        <v>1661</v>
      </c>
      <c r="I263" s="41" t="s">
        <v>1662</v>
      </c>
      <c r="J263" s="41" t="s">
        <v>1663</v>
      </c>
      <c r="K263" s="44" t="s">
        <v>84</v>
      </c>
      <c r="L263" s="42" t="s">
        <v>538</v>
      </c>
      <c r="M263" s="42" t="s">
        <v>1500</v>
      </c>
      <c r="N263" s="45">
        <v>46360.0</v>
      </c>
      <c r="O263" s="42" t="s">
        <v>86</v>
      </c>
      <c r="P263" s="39"/>
      <c r="Q263" s="39"/>
      <c r="R263" s="39"/>
    </row>
    <row r="264" ht="120.0" customHeight="1">
      <c r="A264" s="46" t="s">
        <v>1664</v>
      </c>
      <c r="B264" s="47" t="s">
        <v>1665</v>
      </c>
      <c r="C264" s="48" t="s">
        <v>1666</v>
      </c>
      <c r="D264" s="51" t="s">
        <v>52</v>
      </c>
      <c r="E264" s="48" t="s">
        <v>1494</v>
      </c>
      <c r="F264" s="47" t="s">
        <v>1667</v>
      </c>
      <c r="G264" s="47" t="s">
        <v>1668</v>
      </c>
      <c r="H264" s="47" t="s">
        <v>1669</v>
      </c>
      <c r="I264" s="47" t="s">
        <v>1670</v>
      </c>
      <c r="J264" s="47" t="s">
        <v>1671</v>
      </c>
      <c r="K264" s="44" t="s">
        <v>84</v>
      </c>
      <c r="L264" s="48" t="s">
        <v>538</v>
      </c>
      <c r="M264" s="48" t="s">
        <v>1500</v>
      </c>
      <c r="N264" s="50">
        <v>46360.0</v>
      </c>
      <c r="O264" s="48" t="s">
        <v>86</v>
      </c>
      <c r="P264" s="39"/>
      <c r="Q264" s="39"/>
      <c r="R264" s="39"/>
    </row>
    <row r="265" ht="120.0" customHeight="1">
      <c r="A265" s="40" t="s">
        <v>1672</v>
      </c>
      <c r="B265" s="41" t="s">
        <v>1673</v>
      </c>
      <c r="C265" s="42" t="s">
        <v>1674</v>
      </c>
      <c r="D265" s="51" t="s">
        <v>52</v>
      </c>
      <c r="E265" s="42" t="s">
        <v>1494</v>
      </c>
      <c r="F265" s="41" t="s">
        <v>1675</v>
      </c>
      <c r="G265" s="41" t="s">
        <v>1676</v>
      </c>
      <c r="H265" s="41" t="s">
        <v>1677</v>
      </c>
      <c r="I265" s="41" t="s">
        <v>1678</v>
      </c>
      <c r="J265" s="41" t="s">
        <v>1679</v>
      </c>
      <c r="K265" s="44" t="s">
        <v>84</v>
      </c>
      <c r="L265" s="42" t="s">
        <v>538</v>
      </c>
      <c r="M265" s="42" t="s">
        <v>1500</v>
      </c>
      <c r="N265" s="45">
        <v>46360.0</v>
      </c>
      <c r="O265" s="42" t="s">
        <v>86</v>
      </c>
      <c r="P265" s="39"/>
      <c r="Q265" s="39"/>
      <c r="R265" s="39"/>
    </row>
    <row r="266" ht="120.0" customHeight="1">
      <c r="A266" s="46" t="s">
        <v>1680</v>
      </c>
      <c r="B266" s="47" t="s">
        <v>1681</v>
      </c>
      <c r="C266" s="48" t="s">
        <v>656</v>
      </c>
      <c r="D266" s="51" t="s">
        <v>52</v>
      </c>
      <c r="E266" s="48" t="s">
        <v>1682</v>
      </c>
      <c r="F266" s="47" t="s">
        <v>1683</v>
      </c>
      <c r="G266" s="47" t="s">
        <v>1684</v>
      </c>
      <c r="H266" s="47" t="s">
        <v>1685</v>
      </c>
      <c r="I266" s="47" t="s">
        <v>1686</v>
      </c>
      <c r="J266" s="47" t="s">
        <v>1687</v>
      </c>
      <c r="K266" s="44" t="s">
        <v>84</v>
      </c>
      <c r="L266" s="48" t="s">
        <v>538</v>
      </c>
      <c r="M266" s="48" t="s">
        <v>1500</v>
      </c>
      <c r="N266" s="50">
        <v>46360.0</v>
      </c>
      <c r="O266" s="48" t="s">
        <v>86</v>
      </c>
      <c r="P266" s="39"/>
      <c r="Q266" s="39"/>
      <c r="R266" s="39"/>
    </row>
    <row r="267" ht="120.0" customHeight="1">
      <c r="A267" s="40" t="s">
        <v>1688</v>
      </c>
      <c r="B267" s="41" t="s">
        <v>1689</v>
      </c>
      <c r="C267" s="42" t="s">
        <v>656</v>
      </c>
      <c r="D267" s="51" t="s">
        <v>52</v>
      </c>
      <c r="E267" s="42" t="s">
        <v>1682</v>
      </c>
      <c r="F267" s="41" t="s">
        <v>1690</v>
      </c>
      <c r="G267" s="41" t="s">
        <v>1691</v>
      </c>
      <c r="H267" s="41" t="s">
        <v>1692</v>
      </c>
      <c r="I267" s="41" t="s">
        <v>1693</v>
      </c>
      <c r="J267" s="41" t="s">
        <v>1694</v>
      </c>
      <c r="K267" s="44" t="s">
        <v>84</v>
      </c>
      <c r="L267" s="42" t="s">
        <v>538</v>
      </c>
      <c r="M267" s="42" t="s">
        <v>1500</v>
      </c>
      <c r="N267" s="45">
        <v>46360.0</v>
      </c>
      <c r="O267" s="42" t="s">
        <v>86</v>
      </c>
      <c r="P267" s="39"/>
      <c r="Q267" s="39"/>
      <c r="R267" s="39"/>
    </row>
    <row r="268" ht="120.0" customHeight="1">
      <c r="A268" s="46" t="s">
        <v>1695</v>
      </c>
      <c r="B268" s="47" t="s">
        <v>1696</v>
      </c>
      <c r="C268" s="48" t="s">
        <v>1697</v>
      </c>
      <c r="D268" s="51" t="s">
        <v>52</v>
      </c>
      <c r="E268" s="48" t="s">
        <v>1698</v>
      </c>
      <c r="F268" s="47" t="s">
        <v>1699</v>
      </c>
      <c r="G268" s="47" t="s">
        <v>1700</v>
      </c>
      <c r="H268" s="47" t="s">
        <v>1701</v>
      </c>
      <c r="I268" s="47" t="s">
        <v>1702</v>
      </c>
      <c r="J268" s="47" t="s">
        <v>1703</v>
      </c>
      <c r="K268" s="44" t="s">
        <v>84</v>
      </c>
      <c r="L268" s="48" t="s">
        <v>1704</v>
      </c>
      <c r="M268" s="48" t="s">
        <v>1500</v>
      </c>
      <c r="N268" s="50">
        <v>46360.0</v>
      </c>
      <c r="O268" s="48" t="s">
        <v>86</v>
      </c>
      <c r="P268" s="39"/>
      <c r="Q268" s="39"/>
      <c r="R268" s="39"/>
    </row>
    <row r="269" ht="120.0" customHeight="1">
      <c r="A269" s="40" t="s">
        <v>1705</v>
      </c>
      <c r="B269" s="41" t="s">
        <v>1706</v>
      </c>
      <c r="C269" s="42" t="s">
        <v>1707</v>
      </c>
      <c r="D269" s="51" t="s">
        <v>52</v>
      </c>
      <c r="E269" s="42" t="s">
        <v>1520</v>
      </c>
      <c r="F269" s="41" t="s">
        <v>1708</v>
      </c>
      <c r="G269" s="41" t="s">
        <v>1709</v>
      </c>
      <c r="H269" s="41" t="s">
        <v>1710</v>
      </c>
      <c r="I269" s="41" t="s">
        <v>1711</v>
      </c>
      <c r="J269" s="41" t="s">
        <v>1712</v>
      </c>
      <c r="K269" s="44" t="s">
        <v>84</v>
      </c>
      <c r="L269" s="42" t="s">
        <v>1508</v>
      </c>
      <c r="M269" s="42" t="s">
        <v>1500</v>
      </c>
      <c r="N269" s="45">
        <v>46360.0</v>
      </c>
      <c r="O269" s="42" t="s">
        <v>86</v>
      </c>
      <c r="P269" s="39"/>
      <c r="Q269" s="39"/>
      <c r="R269" s="39"/>
    </row>
    <row r="270" ht="120.0" customHeight="1">
      <c r="A270" s="46" t="s">
        <v>1713</v>
      </c>
      <c r="B270" s="47" t="s">
        <v>1714</v>
      </c>
      <c r="C270" s="48" t="s">
        <v>1707</v>
      </c>
      <c r="D270" s="51" t="s">
        <v>52</v>
      </c>
      <c r="E270" s="48" t="s">
        <v>1715</v>
      </c>
      <c r="F270" s="47" t="s">
        <v>1716</v>
      </c>
      <c r="G270" s="47" t="s">
        <v>1717</v>
      </c>
      <c r="H270" s="47" t="s">
        <v>1718</v>
      </c>
      <c r="I270" s="47" t="s">
        <v>1719</v>
      </c>
      <c r="J270" s="47" t="s">
        <v>1720</v>
      </c>
      <c r="K270" s="49" t="s">
        <v>96</v>
      </c>
      <c r="L270" s="48" t="s">
        <v>155</v>
      </c>
      <c r="M270" s="48" t="s">
        <v>1500</v>
      </c>
      <c r="N270" s="50">
        <v>46360.0</v>
      </c>
      <c r="O270" s="48" t="s">
        <v>1721</v>
      </c>
      <c r="P270" s="39"/>
      <c r="Q270" s="39"/>
      <c r="R270" s="39"/>
    </row>
    <row r="271" ht="120.0" customHeight="1">
      <c r="A271" s="40" t="s">
        <v>1722</v>
      </c>
      <c r="B271" s="41" t="s">
        <v>1723</v>
      </c>
      <c r="C271" s="42" t="s">
        <v>1707</v>
      </c>
      <c r="D271" s="53" t="s">
        <v>55</v>
      </c>
      <c r="E271" s="42" t="s">
        <v>1520</v>
      </c>
      <c r="F271" s="41" t="s">
        <v>1724</v>
      </c>
      <c r="G271" s="41" t="s">
        <v>1725</v>
      </c>
      <c r="H271" s="41" t="s">
        <v>1726</v>
      </c>
      <c r="I271" s="41" t="s">
        <v>1727</v>
      </c>
      <c r="J271" s="41" t="s">
        <v>1728</v>
      </c>
      <c r="K271" s="44" t="s">
        <v>84</v>
      </c>
      <c r="L271" s="42" t="s">
        <v>538</v>
      </c>
      <c r="M271" s="42" t="s">
        <v>1500</v>
      </c>
      <c r="N271" s="45">
        <v>46360.0</v>
      </c>
      <c r="O271" s="42" t="s">
        <v>86</v>
      </c>
      <c r="P271" s="39"/>
      <c r="Q271" s="39"/>
      <c r="R271" s="39"/>
    </row>
    <row r="272" ht="120.0" customHeight="1">
      <c r="A272" s="46" t="s">
        <v>1729</v>
      </c>
      <c r="B272" s="47" t="s">
        <v>1730</v>
      </c>
      <c r="C272" s="48" t="s">
        <v>1707</v>
      </c>
      <c r="D272" s="55" t="s">
        <v>58</v>
      </c>
      <c r="E272" s="48" t="s">
        <v>1731</v>
      </c>
      <c r="F272" s="47" t="s">
        <v>1732</v>
      </c>
      <c r="G272" s="47" t="s">
        <v>1733</v>
      </c>
      <c r="H272" s="47" t="s">
        <v>1734</v>
      </c>
      <c r="I272" s="47" t="s">
        <v>1735</v>
      </c>
      <c r="J272" s="47" t="s">
        <v>1736</v>
      </c>
      <c r="K272" s="49" t="s">
        <v>96</v>
      </c>
      <c r="L272" s="48" t="s">
        <v>538</v>
      </c>
      <c r="M272" s="48" t="s">
        <v>1500</v>
      </c>
      <c r="N272" s="50">
        <v>46360.0</v>
      </c>
      <c r="O272" s="48" t="s">
        <v>1737</v>
      </c>
      <c r="P272" s="39"/>
      <c r="Q272" s="39"/>
      <c r="R272" s="39"/>
    </row>
    <row r="273" ht="120.0" customHeight="1">
      <c r="A273" s="40" t="s">
        <v>1738</v>
      </c>
      <c r="B273" s="41" t="s">
        <v>1739</v>
      </c>
      <c r="C273" s="42" t="s">
        <v>1707</v>
      </c>
      <c r="D273" s="51" t="s">
        <v>52</v>
      </c>
      <c r="E273" s="42" t="s">
        <v>1740</v>
      </c>
      <c r="F273" s="41" t="s">
        <v>1741</v>
      </c>
      <c r="G273" s="41" t="s">
        <v>1742</v>
      </c>
      <c r="H273" s="41" t="s">
        <v>1743</v>
      </c>
      <c r="I273" s="41" t="s">
        <v>1744</v>
      </c>
      <c r="J273" s="41" t="s">
        <v>1745</v>
      </c>
      <c r="K273" s="44" t="s">
        <v>84</v>
      </c>
      <c r="L273" s="42" t="s">
        <v>155</v>
      </c>
      <c r="M273" s="42" t="s">
        <v>1500</v>
      </c>
      <c r="N273" s="45">
        <v>46360.0</v>
      </c>
      <c r="O273" s="42" t="s">
        <v>86</v>
      </c>
      <c r="P273" s="39"/>
      <c r="Q273" s="39"/>
      <c r="R273" s="39"/>
    </row>
    <row r="274" ht="120.0" customHeight="1">
      <c r="A274" s="46" t="s">
        <v>1746</v>
      </c>
      <c r="B274" s="47" t="s">
        <v>1747</v>
      </c>
      <c r="C274" s="48" t="s">
        <v>1707</v>
      </c>
      <c r="D274" s="53" t="s">
        <v>55</v>
      </c>
      <c r="E274" s="48" t="s">
        <v>1520</v>
      </c>
      <c r="F274" s="47" t="s">
        <v>1748</v>
      </c>
      <c r="G274" s="47" t="s">
        <v>1749</v>
      </c>
      <c r="H274" s="47" t="s">
        <v>1508</v>
      </c>
      <c r="I274" s="47" t="s">
        <v>1750</v>
      </c>
      <c r="J274" s="47" t="s">
        <v>1751</v>
      </c>
      <c r="K274" s="49" t="s">
        <v>96</v>
      </c>
      <c r="L274" s="48" t="s">
        <v>538</v>
      </c>
      <c r="M274" s="48" t="s">
        <v>1500</v>
      </c>
      <c r="N274" s="50">
        <v>46360.0</v>
      </c>
      <c r="O274" s="48" t="s">
        <v>1752</v>
      </c>
      <c r="P274" s="39"/>
      <c r="Q274" s="39"/>
      <c r="R274" s="39"/>
    </row>
    <row r="275" ht="120.0" customHeight="1">
      <c r="A275" s="40" t="s">
        <v>1753</v>
      </c>
      <c r="B275" s="41" t="s">
        <v>1754</v>
      </c>
      <c r="C275" s="42" t="s">
        <v>1707</v>
      </c>
      <c r="D275" s="53" t="s">
        <v>55</v>
      </c>
      <c r="E275" s="42" t="s">
        <v>1755</v>
      </c>
      <c r="F275" s="41" t="s">
        <v>1748</v>
      </c>
      <c r="G275" s="41" t="s">
        <v>1756</v>
      </c>
      <c r="H275" s="41" t="s">
        <v>944</v>
      </c>
      <c r="I275" s="41" t="s">
        <v>1757</v>
      </c>
      <c r="J275" s="41" t="s">
        <v>1758</v>
      </c>
      <c r="K275" s="49" t="s">
        <v>96</v>
      </c>
      <c r="L275" s="42" t="s">
        <v>155</v>
      </c>
      <c r="M275" s="42" t="s">
        <v>1500</v>
      </c>
      <c r="N275" s="45">
        <v>46360.0</v>
      </c>
      <c r="O275" s="42" t="s">
        <v>1759</v>
      </c>
      <c r="P275" s="39"/>
      <c r="Q275" s="39"/>
      <c r="R275" s="39"/>
    </row>
    <row r="276" ht="120.0" customHeight="1">
      <c r="A276" s="46" t="s">
        <v>1760</v>
      </c>
      <c r="B276" s="47" t="s">
        <v>1761</v>
      </c>
      <c r="C276" s="48" t="s">
        <v>1707</v>
      </c>
      <c r="D276" s="51" t="s">
        <v>52</v>
      </c>
      <c r="E276" s="48" t="s">
        <v>1755</v>
      </c>
      <c r="F276" s="47" t="s">
        <v>1762</v>
      </c>
      <c r="G276" s="47" t="s">
        <v>1763</v>
      </c>
      <c r="H276" s="47" t="s">
        <v>1764</v>
      </c>
      <c r="I276" s="47" t="s">
        <v>1765</v>
      </c>
      <c r="J276" s="47" t="s">
        <v>1766</v>
      </c>
      <c r="K276" s="49" t="s">
        <v>96</v>
      </c>
      <c r="L276" s="48" t="s">
        <v>155</v>
      </c>
      <c r="M276" s="48" t="s">
        <v>1500</v>
      </c>
      <c r="N276" s="50">
        <v>46360.0</v>
      </c>
      <c r="O276" s="48" t="s">
        <v>1767</v>
      </c>
      <c r="P276" s="39"/>
      <c r="Q276" s="39"/>
      <c r="R276" s="39"/>
    </row>
    <row r="277" ht="120.0" customHeight="1">
      <c r="A277" s="40" t="s">
        <v>1768</v>
      </c>
      <c r="B277" s="41" t="s">
        <v>1769</v>
      </c>
      <c r="C277" s="42" t="s">
        <v>1707</v>
      </c>
      <c r="D277" s="51" t="s">
        <v>52</v>
      </c>
      <c r="E277" s="42" t="s">
        <v>1770</v>
      </c>
      <c r="F277" s="41" t="s">
        <v>1762</v>
      </c>
      <c r="G277" s="41" t="s">
        <v>1771</v>
      </c>
      <c r="H277" s="41" t="s">
        <v>1772</v>
      </c>
      <c r="I277" s="41" t="s">
        <v>1773</v>
      </c>
      <c r="J277" s="41" t="s">
        <v>1774</v>
      </c>
      <c r="K277" s="49" t="s">
        <v>96</v>
      </c>
      <c r="L277" s="42" t="s">
        <v>155</v>
      </c>
      <c r="M277" s="42" t="s">
        <v>1500</v>
      </c>
      <c r="N277" s="45">
        <v>46360.0</v>
      </c>
      <c r="O277" s="42" t="s">
        <v>1775</v>
      </c>
      <c r="P277" s="39"/>
      <c r="Q277" s="39"/>
      <c r="R277" s="39"/>
    </row>
    <row r="278" ht="120.0" customHeight="1">
      <c r="A278" s="46" t="s">
        <v>1776</v>
      </c>
      <c r="B278" s="47" t="s">
        <v>1777</v>
      </c>
      <c r="C278" s="48" t="s">
        <v>1707</v>
      </c>
      <c r="D278" s="51" t="s">
        <v>52</v>
      </c>
      <c r="E278" s="48" t="s">
        <v>1778</v>
      </c>
      <c r="F278" s="47" t="s">
        <v>1779</v>
      </c>
      <c r="G278" s="47" t="s">
        <v>1780</v>
      </c>
      <c r="H278" s="47" t="s">
        <v>1781</v>
      </c>
      <c r="I278" s="47" t="s">
        <v>1782</v>
      </c>
      <c r="J278" s="47" t="s">
        <v>1783</v>
      </c>
      <c r="K278" s="49" t="s">
        <v>96</v>
      </c>
      <c r="L278" s="48" t="s">
        <v>155</v>
      </c>
      <c r="M278" s="48" t="s">
        <v>1500</v>
      </c>
      <c r="N278" s="50">
        <v>46360.0</v>
      </c>
      <c r="O278" s="48" t="s">
        <v>1784</v>
      </c>
      <c r="P278" s="39"/>
      <c r="Q278" s="39"/>
      <c r="R278" s="39"/>
    </row>
    <row r="279" ht="120.0" customHeight="1">
      <c r="A279" s="40" t="s">
        <v>1785</v>
      </c>
      <c r="B279" s="41" t="s">
        <v>1786</v>
      </c>
      <c r="C279" s="42" t="s">
        <v>1707</v>
      </c>
      <c r="D279" s="51" t="s">
        <v>52</v>
      </c>
      <c r="E279" s="42" t="s">
        <v>1770</v>
      </c>
      <c r="F279" s="41" t="s">
        <v>1762</v>
      </c>
      <c r="G279" s="41" t="s">
        <v>1771</v>
      </c>
      <c r="H279" s="41" t="s">
        <v>1772</v>
      </c>
      <c r="I279" s="41" t="s">
        <v>1787</v>
      </c>
      <c r="J279" s="41" t="s">
        <v>1788</v>
      </c>
      <c r="K279" s="49" t="s">
        <v>96</v>
      </c>
      <c r="L279" s="42" t="s">
        <v>155</v>
      </c>
      <c r="M279" s="42" t="s">
        <v>1500</v>
      </c>
      <c r="N279" s="45">
        <v>46360.0</v>
      </c>
      <c r="O279" s="42" t="s">
        <v>1789</v>
      </c>
      <c r="P279" s="39"/>
      <c r="Q279" s="39"/>
      <c r="R279" s="39"/>
    </row>
    <row r="280" ht="120.0" customHeight="1">
      <c r="A280" s="46" t="s">
        <v>1790</v>
      </c>
      <c r="B280" s="47" t="s">
        <v>1791</v>
      </c>
      <c r="C280" s="48" t="s">
        <v>1707</v>
      </c>
      <c r="D280" s="51" t="s">
        <v>52</v>
      </c>
      <c r="E280" s="48" t="s">
        <v>1520</v>
      </c>
      <c r="F280" s="47" t="s">
        <v>1792</v>
      </c>
      <c r="G280" s="47" t="s">
        <v>1793</v>
      </c>
      <c r="H280" s="47" t="s">
        <v>1794</v>
      </c>
      <c r="I280" s="47" t="s">
        <v>1795</v>
      </c>
      <c r="J280" s="47" t="s">
        <v>1796</v>
      </c>
      <c r="K280" s="44" t="s">
        <v>84</v>
      </c>
      <c r="L280" s="48" t="s">
        <v>155</v>
      </c>
      <c r="M280" s="48" t="s">
        <v>1500</v>
      </c>
      <c r="N280" s="50">
        <v>46360.0</v>
      </c>
      <c r="O280" s="48" t="s">
        <v>86</v>
      </c>
      <c r="P280" s="39"/>
      <c r="Q280" s="39"/>
      <c r="R280" s="39"/>
    </row>
    <row r="281" ht="120.0" customHeight="1">
      <c r="A281" s="40" t="s">
        <v>1797</v>
      </c>
      <c r="B281" s="41" t="s">
        <v>1798</v>
      </c>
      <c r="C281" s="42" t="s">
        <v>1707</v>
      </c>
      <c r="D281" s="51" t="s">
        <v>52</v>
      </c>
      <c r="E281" s="42" t="s">
        <v>1494</v>
      </c>
      <c r="F281" s="41" t="s">
        <v>1762</v>
      </c>
      <c r="G281" s="41" t="s">
        <v>1799</v>
      </c>
      <c r="H281" s="41" t="s">
        <v>1794</v>
      </c>
      <c r="I281" s="41" t="s">
        <v>1800</v>
      </c>
      <c r="J281" s="41" t="s">
        <v>1801</v>
      </c>
      <c r="K281" s="44" t="s">
        <v>84</v>
      </c>
      <c r="L281" s="42" t="s">
        <v>538</v>
      </c>
      <c r="M281" s="42" t="s">
        <v>1500</v>
      </c>
      <c r="N281" s="45">
        <v>46360.0</v>
      </c>
      <c r="O281" s="42" t="s">
        <v>86</v>
      </c>
      <c r="P281" s="39"/>
      <c r="Q281" s="39"/>
      <c r="R281" s="39"/>
    </row>
    <row r="282" ht="120.0" customHeight="1">
      <c r="A282" s="46" t="s">
        <v>1802</v>
      </c>
      <c r="B282" s="47" t="s">
        <v>1803</v>
      </c>
      <c r="C282" s="48" t="s">
        <v>1707</v>
      </c>
      <c r="D282" s="51" t="s">
        <v>52</v>
      </c>
      <c r="E282" s="48" t="s">
        <v>1520</v>
      </c>
      <c r="F282" s="47" t="s">
        <v>1762</v>
      </c>
      <c r="G282" s="47" t="s">
        <v>1804</v>
      </c>
      <c r="H282" s="47" t="s">
        <v>1794</v>
      </c>
      <c r="I282" s="47" t="s">
        <v>1805</v>
      </c>
      <c r="J282" s="47" t="s">
        <v>1806</v>
      </c>
      <c r="K282" s="44" t="s">
        <v>84</v>
      </c>
      <c r="L282" s="48" t="s">
        <v>538</v>
      </c>
      <c r="M282" s="48" t="s">
        <v>1500</v>
      </c>
      <c r="N282" s="50">
        <v>46360.0</v>
      </c>
      <c r="O282" s="48" t="s">
        <v>86</v>
      </c>
      <c r="P282" s="39"/>
      <c r="Q282" s="39"/>
      <c r="R282" s="39"/>
    </row>
    <row r="283" ht="120.0" customHeight="1">
      <c r="A283" s="40" t="s">
        <v>1807</v>
      </c>
      <c r="B283" s="41" t="s">
        <v>1808</v>
      </c>
      <c r="C283" s="42" t="s">
        <v>1707</v>
      </c>
      <c r="D283" s="53" t="s">
        <v>55</v>
      </c>
      <c r="E283" s="42" t="s">
        <v>1520</v>
      </c>
      <c r="F283" s="41" t="s">
        <v>1762</v>
      </c>
      <c r="G283" s="41" t="s">
        <v>1809</v>
      </c>
      <c r="H283" s="41" t="s">
        <v>1794</v>
      </c>
      <c r="I283" s="41" t="s">
        <v>1810</v>
      </c>
      <c r="J283" s="41" t="s">
        <v>1811</v>
      </c>
      <c r="K283" s="44" t="s">
        <v>84</v>
      </c>
      <c r="L283" s="42" t="s">
        <v>538</v>
      </c>
      <c r="M283" s="42" t="s">
        <v>1500</v>
      </c>
      <c r="N283" s="45">
        <v>46360.0</v>
      </c>
      <c r="O283" s="42" t="s">
        <v>86</v>
      </c>
      <c r="P283" s="39"/>
      <c r="Q283" s="39"/>
      <c r="R283" s="39"/>
    </row>
    <row r="284" ht="120.0" customHeight="1">
      <c r="A284" s="46" t="s">
        <v>1812</v>
      </c>
      <c r="B284" s="47" t="s">
        <v>1813</v>
      </c>
      <c r="C284" s="48" t="s">
        <v>1707</v>
      </c>
      <c r="D284" s="53" t="s">
        <v>55</v>
      </c>
      <c r="E284" s="48" t="s">
        <v>1814</v>
      </c>
      <c r="F284" s="47" t="s">
        <v>1815</v>
      </c>
      <c r="G284" s="47" t="s">
        <v>1816</v>
      </c>
      <c r="H284" s="47" t="s">
        <v>1817</v>
      </c>
      <c r="I284" s="47" t="s">
        <v>1818</v>
      </c>
      <c r="J284" s="47" t="s">
        <v>1819</v>
      </c>
      <c r="K284" s="44" t="s">
        <v>84</v>
      </c>
      <c r="L284" s="48" t="s">
        <v>538</v>
      </c>
      <c r="M284" s="48" t="s">
        <v>1500</v>
      </c>
      <c r="N284" s="50">
        <v>46360.0</v>
      </c>
      <c r="O284" s="48" t="s">
        <v>86</v>
      </c>
      <c r="P284" s="39"/>
      <c r="Q284" s="39"/>
      <c r="R284" s="39"/>
    </row>
    <row r="285" ht="120.0" customHeight="1">
      <c r="A285" s="40" t="s">
        <v>1820</v>
      </c>
      <c r="B285" s="41" t="s">
        <v>1821</v>
      </c>
      <c r="C285" s="42" t="s">
        <v>1707</v>
      </c>
      <c r="D285" s="51" t="s">
        <v>52</v>
      </c>
      <c r="E285" s="42" t="s">
        <v>1715</v>
      </c>
      <c r="F285" s="41" t="s">
        <v>1822</v>
      </c>
      <c r="G285" s="41" t="s">
        <v>1823</v>
      </c>
      <c r="H285" s="41" t="s">
        <v>1824</v>
      </c>
      <c r="I285" s="41" t="s">
        <v>1825</v>
      </c>
      <c r="J285" s="41" t="s">
        <v>1826</v>
      </c>
      <c r="K285" s="44" t="s">
        <v>84</v>
      </c>
      <c r="L285" s="42" t="s">
        <v>155</v>
      </c>
      <c r="M285" s="42" t="s">
        <v>1500</v>
      </c>
      <c r="N285" s="45">
        <v>46360.0</v>
      </c>
      <c r="O285" s="42" t="s">
        <v>86</v>
      </c>
      <c r="P285" s="39"/>
      <c r="Q285" s="39"/>
      <c r="R285" s="39"/>
    </row>
    <row r="286" ht="120.0" customHeight="1">
      <c r="A286" s="46" t="s">
        <v>1827</v>
      </c>
      <c r="B286" s="47" t="s">
        <v>1828</v>
      </c>
      <c r="C286" s="48" t="s">
        <v>1707</v>
      </c>
      <c r="D286" s="53" t="s">
        <v>55</v>
      </c>
      <c r="E286" s="48" t="s">
        <v>1520</v>
      </c>
      <c r="F286" s="47" t="s">
        <v>1829</v>
      </c>
      <c r="G286" s="47" t="s">
        <v>1830</v>
      </c>
      <c r="H286" s="47" t="s">
        <v>1831</v>
      </c>
      <c r="I286" s="47" t="s">
        <v>1832</v>
      </c>
      <c r="J286" s="47" t="s">
        <v>86</v>
      </c>
      <c r="K286" s="44" t="s">
        <v>84</v>
      </c>
      <c r="L286" s="48" t="s">
        <v>1508</v>
      </c>
      <c r="M286" s="48" t="s">
        <v>1500</v>
      </c>
      <c r="N286" s="50">
        <v>46360.0</v>
      </c>
      <c r="O286" s="48" t="s">
        <v>86</v>
      </c>
      <c r="P286" s="39"/>
      <c r="Q286" s="39"/>
      <c r="R286" s="39"/>
    </row>
    <row r="287" ht="120.0" customHeight="1">
      <c r="A287" s="40" t="s">
        <v>1833</v>
      </c>
      <c r="B287" s="41" t="s">
        <v>1834</v>
      </c>
      <c r="C287" s="42" t="s">
        <v>1835</v>
      </c>
      <c r="D287" s="51" t="s">
        <v>52</v>
      </c>
      <c r="E287" s="42" t="s">
        <v>1580</v>
      </c>
      <c r="F287" s="41" t="s">
        <v>1836</v>
      </c>
      <c r="G287" s="41" t="s">
        <v>1837</v>
      </c>
      <c r="H287" s="41" t="s">
        <v>1838</v>
      </c>
      <c r="I287" s="41" t="s">
        <v>1839</v>
      </c>
      <c r="J287" s="41" t="s">
        <v>1840</v>
      </c>
      <c r="K287" s="49" t="s">
        <v>96</v>
      </c>
      <c r="L287" s="42" t="s">
        <v>155</v>
      </c>
      <c r="M287" s="42" t="s">
        <v>1500</v>
      </c>
      <c r="N287" s="45">
        <v>46360.0</v>
      </c>
      <c r="O287" s="42" t="s">
        <v>1841</v>
      </c>
      <c r="P287" s="39"/>
      <c r="Q287" s="39"/>
      <c r="R287" s="39"/>
    </row>
    <row r="288" ht="120.0" customHeight="1">
      <c r="A288" s="46" t="s">
        <v>1842</v>
      </c>
      <c r="B288" s="47" t="s">
        <v>1843</v>
      </c>
      <c r="C288" s="48" t="s">
        <v>1835</v>
      </c>
      <c r="D288" s="53" t="s">
        <v>55</v>
      </c>
      <c r="E288" s="48" t="s">
        <v>1494</v>
      </c>
      <c r="F288" s="47" t="s">
        <v>1844</v>
      </c>
      <c r="G288" s="47" t="s">
        <v>1845</v>
      </c>
      <c r="H288" s="47" t="s">
        <v>1846</v>
      </c>
      <c r="I288" s="47" t="s">
        <v>1847</v>
      </c>
      <c r="J288" s="47" t="s">
        <v>1848</v>
      </c>
      <c r="K288" s="49" t="s">
        <v>96</v>
      </c>
      <c r="L288" s="48" t="s">
        <v>1704</v>
      </c>
      <c r="M288" s="48" t="s">
        <v>1500</v>
      </c>
      <c r="N288" s="50">
        <v>46360.0</v>
      </c>
      <c r="O288" s="48" t="s">
        <v>1849</v>
      </c>
      <c r="P288" s="39"/>
      <c r="Q288" s="39"/>
      <c r="R288" s="39"/>
    </row>
    <row r="289" ht="120.0" customHeight="1">
      <c r="A289" s="40" t="s">
        <v>1850</v>
      </c>
      <c r="B289" s="41" t="s">
        <v>1851</v>
      </c>
      <c r="C289" s="42" t="s">
        <v>1835</v>
      </c>
      <c r="D289" s="53" t="s">
        <v>55</v>
      </c>
      <c r="E289" s="42" t="s">
        <v>1520</v>
      </c>
      <c r="F289" s="41" t="s">
        <v>1852</v>
      </c>
      <c r="G289" s="41" t="s">
        <v>1853</v>
      </c>
      <c r="H289" s="41" t="s">
        <v>1854</v>
      </c>
      <c r="I289" s="41" t="s">
        <v>1855</v>
      </c>
      <c r="J289" s="41" t="s">
        <v>1856</v>
      </c>
      <c r="K289" s="49" t="s">
        <v>96</v>
      </c>
      <c r="L289" s="42" t="s">
        <v>155</v>
      </c>
      <c r="M289" s="42" t="s">
        <v>1500</v>
      </c>
      <c r="N289" s="45">
        <v>46360.0</v>
      </c>
      <c r="O289" s="42" t="s">
        <v>1857</v>
      </c>
      <c r="P289" s="39"/>
      <c r="Q289" s="39"/>
      <c r="R289" s="39"/>
    </row>
    <row r="290" ht="120.0" customHeight="1">
      <c r="A290" s="46" t="s">
        <v>1858</v>
      </c>
      <c r="B290" s="47" t="s">
        <v>1859</v>
      </c>
      <c r="C290" s="48" t="s">
        <v>1860</v>
      </c>
      <c r="D290" s="51" t="s">
        <v>52</v>
      </c>
      <c r="E290" s="48" t="s">
        <v>1861</v>
      </c>
      <c r="F290" s="47" t="s">
        <v>1862</v>
      </c>
      <c r="G290" s="47" t="s">
        <v>1863</v>
      </c>
      <c r="H290" s="47" t="s">
        <v>1864</v>
      </c>
      <c r="I290" s="47" t="s">
        <v>1865</v>
      </c>
      <c r="J290" s="47" t="s">
        <v>1866</v>
      </c>
      <c r="K290" s="44" t="s">
        <v>84</v>
      </c>
      <c r="L290" s="48" t="s">
        <v>1508</v>
      </c>
      <c r="M290" s="48" t="s">
        <v>1500</v>
      </c>
      <c r="N290" s="50">
        <v>46360.0</v>
      </c>
      <c r="O290" s="48" t="s">
        <v>86</v>
      </c>
      <c r="P290" s="39"/>
      <c r="Q290" s="39"/>
      <c r="R290" s="39"/>
    </row>
    <row r="291" ht="120.0" customHeight="1">
      <c r="A291" s="40" t="s">
        <v>1867</v>
      </c>
      <c r="B291" s="41" t="s">
        <v>1868</v>
      </c>
      <c r="C291" s="42" t="s">
        <v>1869</v>
      </c>
      <c r="D291" s="53" t="s">
        <v>55</v>
      </c>
      <c r="E291" s="42" t="s">
        <v>1580</v>
      </c>
      <c r="F291" s="41" t="s">
        <v>1870</v>
      </c>
      <c r="G291" s="41" t="s">
        <v>1871</v>
      </c>
      <c r="H291" s="41" t="s">
        <v>1872</v>
      </c>
      <c r="I291" s="41" t="s">
        <v>1873</v>
      </c>
      <c r="J291" s="41" t="s">
        <v>1874</v>
      </c>
      <c r="K291" s="49" t="s">
        <v>96</v>
      </c>
      <c r="L291" s="42" t="s">
        <v>1704</v>
      </c>
      <c r="M291" s="42" t="s">
        <v>1500</v>
      </c>
      <c r="N291" s="45">
        <v>46360.0</v>
      </c>
      <c r="O291" s="42" t="s">
        <v>1875</v>
      </c>
      <c r="P291" s="39"/>
      <c r="Q291" s="39"/>
      <c r="R291" s="39"/>
    </row>
    <row r="292" ht="120.0" customHeight="1">
      <c r="A292" s="46" t="s">
        <v>1876</v>
      </c>
      <c r="B292" s="47" t="s">
        <v>1877</v>
      </c>
      <c r="C292" s="48" t="s">
        <v>1835</v>
      </c>
      <c r="D292" s="53" t="s">
        <v>55</v>
      </c>
      <c r="E292" s="48" t="s">
        <v>1580</v>
      </c>
      <c r="F292" s="47" t="s">
        <v>1878</v>
      </c>
      <c r="G292" s="47" t="s">
        <v>1879</v>
      </c>
      <c r="H292" s="47" t="s">
        <v>1880</v>
      </c>
      <c r="I292" s="47" t="s">
        <v>1881</v>
      </c>
      <c r="J292" s="47" t="s">
        <v>1882</v>
      </c>
      <c r="K292" s="44" t="s">
        <v>84</v>
      </c>
      <c r="L292" s="48" t="s">
        <v>1883</v>
      </c>
      <c r="M292" s="48" t="s">
        <v>1500</v>
      </c>
      <c r="N292" s="50">
        <v>46360.0</v>
      </c>
      <c r="O292" s="48" t="s">
        <v>86</v>
      </c>
      <c r="P292" s="39"/>
      <c r="Q292" s="39"/>
      <c r="R292" s="39"/>
    </row>
    <row r="293" ht="120.0" customHeight="1">
      <c r="A293" s="40" t="s">
        <v>1884</v>
      </c>
      <c r="B293" s="41" t="s">
        <v>1885</v>
      </c>
      <c r="C293" s="42" t="s">
        <v>1707</v>
      </c>
      <c r="D293" s="51" t="s">
        <v>52</v>
      </c>
      <c r="E293" s="42" t="s">
        <v>1520</v>
      </c>
      <c r="F293" s="41" t="s">
        <v>1886</v>
      </c>
      <c r="G293" s="41" t="s">
        <v>1887</v>
      </c>
      <c r="H293" s="41" t="s">
        <v>1888</v>
      </c>
      <c r="I293" s="41" t="s">
        <v>1889</v>
      </c>
      <c r="J293" s="41" t="s">
        <v>1890</v>
      </c>
      <c r="K293" s="44" t="s">
        <v>84</v>
      </c>
      <c r="L293" s="42" t="s">
        <v>1883</v>
      </c>
      <c r="M293" s="42" t="s">
        <v>1500</v>
      </c>
      <c r="N293" s="45">
        <v>46360.0</v>
      </c>
      <c r="O293" s="42" t="s">
        <v>86</v>
      </c>
      <c r="P293" s="39"/>
      <c r="Q293" s="39"/>
      <c r="R293" s="39"/>
    </row>
    <row r="294" ht="120.0" customHeight="1">
      <c r="A294" s="46" t="s">
        <v>1891</v>
      </c>
      <c r="B294" s="47" t="s">
        <v>1892</v>
      </c>
      <c r="C294" s="48" t="s">
        <v>1893</v>
      </c>
      <c r="D294" s="51" t="s">
        <v>52</v>
      </c>
      <c r="E294" s="48" t="s">
        <v>1715</v>
      </c>
      <c r="F294" s="47" t="s">
        <v>1894</v>
      </c>
      <c r="G294" s="47" t="s">
        <v>1895</v>
      </c>
      <c r="H294" s="47" t="s">
        <v>1896</v>
      </c>
      <c r="I294" s="47" t="s">
        <v>1897</v>
      </c>
      <c r="J294" s="47" t="s">
        <v>1898</v>
      </c>
      <c r="K294" s="49" t="s">
        <v>96</v>
      </c>
      <c r="L294" s="48" t="s">
        <v>155</v>
      </c>
      <c r="M294" s="48" t="s">
        <v>1500</v>
      </c>
      <c r="N294" s="50">
        <v>46360.0</v>
      </c>
      <c r="O294" s="48" t="s">
        <v>1899</v>
      </c>
      <c r="P294" s="39"/>
      <c r="Q294" s="39"/>
      <c r="R294" s="39"/>
    </row>
    <row r="295" ht="120.0" customHeight="1">
      <c r="A295" s="40" t="s">
        <v>1900</v>
      </c>
      <c r="B295" s="41" t="s">
        <v>1901</v>
      </c>
      <c r="C295" s="42" t="s">
        <v>1902</v>
      </c>
      <c r="D295" s="51" t="s">
        <v>52</v>
      </c>
      <c r="E295" s="42" t="s">
        <v>1903</v>
      </c>
      <c r="F295" s="41" t="s">
        <v>1904</v>
      </c>
      <c r="G295" s="41" t="s">
        <v>1905</v>
      </c>
      <c r="H295" s="41" t="s">
        <v>1906</v>
      </c>
      <c r="I295" s="41" t="s">
        <v>1907</v>
      </c>
      <c r="J295" s="41" t="s">
        <v>1908</v>
      </c>
      <c r="K295" s="44" t="s">
        <v>84</v>
      </c>
      <c r="L295" s="42" t="s">
        <v>155</v>
      </c>
      <c r="M295" s="42" t="s">
        <v>1500</v>
      </c>
      <c r="N295" s="45">
        <v>46360.0</v>
      </c>
      <c r="O295" s="42" t="s">
        <v>86</v>
      </c>
      <c r="P295" s="39"/>
      <c r="Q295" s="39"/>
      <c r="R295" s="39"/>
    </row>
    <row r="296" ht="120.0" customHeight="1">
      <c r="A296" s="46" t="s">
        <v>1909</v>
      </c>
      <c r="B296" s="47" t="s">
        <v>1910</v>
      </c>
      <c r="C296" s="48" t="s">
        <v>1911</v>
      </c>
      <c r="D296" s="53" t="s">
        <v>55</v>
      </c>
      <c r="E296" s="48" t="s">
        <v>1520</v>
      </c>
      <c r="F296" s="47" t="s">
        <v>1912</v>
      </c>
      <c r="G296" s="47" t="s">
        <v>1913</v>
      </c>
      <c r="H296" s="47" t="s">
        <v>1914</v>
      </c>
      <c r="I296" s="47" t="s">
        <v>1915</v>
      </c>
      <c r="J296" s="47" t="s">
        <v>1916</v>
      </c>
      <c r="K296" s="44" t="s">
        <v>84</v>
      </c>
      <c r="L296" s="48" t="s">
        <v>1704</v>
      </c>
      <c r="M296" s="48" t="s">
        <v>1500</v>
      </c>
      <c r="N296" s="50">
        <v>46360.0</v>
      </c>
      <c r="O296" s="48" t="s">
        <v>86</v>
      </c>
      <c r="P296" s="39"/>
      <c r="Q296" s="39"/>
      <c r="R296" s="39"/>
    </row>
    <row r="297" ht="120.0" customHeight="1">
      <c r="A297" s="40" t="s">
        <v>1917</v>
      </c>
      <c r="B297" s="41" t="s">
        <v>1918</v>
      </c>
      <c r="C297" s="42" t="s">
        <v>1911</v>
      </c>
      <c r="D297" s="51" t="s">
        <v>52</v>
      </c>
      <c r="E297" s="42" t="s">
        <v>1520</v>
      </c>
      <c r="F297" s="41" t="s">
        <v>1919</v>
      </c>
      <c r="G297" s="41" t="s">
        <v>1920</v>
      </c>
      <c r="H297" s="41" t="s">
        <v>1914</v>
      </c>
      <c r="I297" s="41" t="s">
        <v>1921</v>
      </c>
      <c r="J297" s="41" t="s">
        <v>1922</v>
      </c>
      <c r="K297" s="44" t="s">
        <v>84</v>
      </c>
      <c r="L297" s="42" t="s">
        <v>155</v>
      </c>
      <c r="M297" s="42" t="s">
        <v>1500</v>
      </c>
      <c r="N297" s="45">
        <v>46360.0</v>
      </c>
      <c r="O297" s="42" t="s">
        <v>86</v>
      </c>
      <c r="P297" s="39"/>
      <c r="Q297" s="39"/>
      <c r="R297" s="39"/>
    </row>
    <row r="298" ht="120.0" customHeight="1">
      <c r="A298" s="46" t="s">
        <v>1923</v>
      </c>
      <c r="B298" s="47" t="s">
        <v>1924</v>
      </c>
      <c r="C298" s="48" t="s">
        <v>1911</v>
      </c>
      <c r="D298" s="55" t="s">
        <v>58</v>
      </c>
      <c r="E298" s="48" t="s">
        <v>1494</v>
      </c>
      <c r="F298" s="47" t="s">
        <v>1925</v>
      </c>
      <c r="G298" s="47" t="s">
        <v>1926</v>
      </c>
      <c r="H298" s="47" t="s">
        <v>944</v>
      </c>
      <c r="I298" s="47" t="s">
        <v>1927</v>
      </c>
      <c r="J298" s="47" t="s">
        <v>1928</v>
      </c>
      <c r="K298" s="44" t="s">
        <v>84</v>
      </c>
      <c r="L298" s="48" t="s">
        <v>538</v>
      </c>
      <c r="M298" s="48" t="s">
        <v>1500</v>
      </c>
      <c r="N298" s="50">
        <v>46360.0</v>
      </c>
      <c r="O298" s="48" t="s">
        <v>86</v>
      </c>
      <c r="P298" s="39"/>
      <c r="Q298" s="39"/>
      <c r="R298" s="39"/>
    </row>
    <row r="299" ht="120.0" customHeight="1">
      <c r="A299" s="40" t="s">
        <v>1929</v>
      </c>
      <c r="B299" s="41" t="s">
        <v>1930</v>
      </c>
      <c r="C299" s="42" t="s">
        <v>1931</v>
      </c>
      <c r="D299" s="51" t="s">
        <v>52</v>
      </c>
      <c r="E299" s="42" t="s">
        <v>1520</v>
      </c>
      <c r="F299" s="41" t="s">
        <v>1932</v>
      </c>
      <c r="G299" s="41" t="s">
        <v>1933</v>
      </c>
      <c r="H299" s="41" t="s">
        <v>1934</v>
      </c>
      <c r="I299" s="41" t="s">
        <v>1935</v>
      </c>
      <c r="J299" s="41" t="s">
        <v>1936</v>
      </c>
      <c r="K299" s="44" t="s">
        <v>84</v>
      </c>
      <c r="L299" s="42" t="s">
        <v>155</v>
      </c>
      <c r="M299" s="42" t="s">
        <v>1500</v>
      </c>
      <c r="N299" s="45">
        <v>46360.0</v>
      </c>
      <c r="O299" s="42" t="s">
        <v>86</v>
      </c>
      <c r="P299" s="39"/>
      <c r="Q299" s="39"/>
      <c r="R299" s="39"/>
    </row>
    <row r="300" ht="120.0" customHeight="1">
      <c r="A300" s="46" t="s">
        <v>1937</v>
      </c>
      <c r="B300" s="47" t="s">
        <v>1938</v>
      </c>
      <c r="C300" s="48" t="s">
        <v>1939</v>
      </c>
      <c r="D300" s="51" t="s">
        <v>52</v>
      </c>
      <c r="E300" s="48" t="s">
        <v>1520</v>
      </c>
      <c r="F300" s="47" t="s">
        <v>1940</v>
      </c>
      <c r="G300" s="47" t="s">
        <v>1941</v>
      </c>
      <c r="H300" s="47" t="s">
        <v>1942</v>
      </c>
      <c r="I300" s="47" t="s">
        <v>1943</v>
      </c>
      <c r="J300" s="47" t="s">
        <v>1944</v>
      </c>
      <c r="K300" s="44" t="s">
        <v>84</v>
      </c>
      <c r="L300" s="48" t="s">
        <v>155</v>
      </c>
      <c r="M300" s="48" t="s">
        <v>1500</v>
      </c>
      <c r="N300" s="50">
        <v>46360.0</v>
      </c>
      <c r="O300" s="48" t="s">
        <v>86</v>
      </c>
      <c r="P300" s="39"/>
      <c r="Q300" s="39"/>
      <c r="R300" s="39"/>
    </row>
    <row r="301" ht="120.0" customHeight="1">
      <c r="A301" s="40" t="s">
        <v>1945</v>
      </c>
      <c r="B301" s="41" t="s">
        <v>1946</v>
      </c>
      <c r="C301" s="42" t="s">
        <v>1939</v>
      </c>
      <c r="D301" s="51" t="s">
        <v>52</v>
      </c>
      <c r="E301" s="42" t="s">
        <v>1520</v>
      </c>
      <c r="F301" s="41" t="s">
        <v>1947</v>
      </c>
      <c r="G301" s="41" t="s">
        <v>1948</v>
      </c>
      <c r="H301" s="41" t="s">
        <v>1949</v>
      </c>
      <c r="I301" s="41" t="s">
        <v>1950</v>
      </c>
      <c r="J301" s="41" t="s">
        <v>1951</v>
      </c>
      <c r="K301" s="44" t="s">
        <v>84</v>
      </c>
      <c r="L301" s="42" t="s">
        <v>155</v>
      </c>
      <c r="M301" s="42" t="s">
        <v>1500</v>
      </c>
      <c r="N301" s="45">
        <v>46360.0</v>
      </c>
      <c r="O301" s="42" t="s">
        <v>86</v>
      </c>
      <c r="P301" s="39"/>
      <c r="Q301" s="39"/>
      <c r="R301" s="39"/>
    </row>
    <row r="302" ht="120.0" customHeight="1">
      <c r="A302" s="46" t="s">
        <v>1952</v>
      </c>
      <c r="B302" s="47" t="s">
        <v>1953</v>
      </c>
      <c r="C302" s="48" t="s">
        <v>1707</v>
      </c>
      <c r="D302" s="51" t="s">
        <v>52</v>
      </c>
      <c r="E302" s="48" t="s">
        <v>1520</v>
      </c>
      <c r="F302" s="47" t="s">
        <v>1954</v>
      </c>
      <c r="G302" s="47" t="s">
        <v>1955</v>
      </c>
      <c r="H302" s="47" t="s">
        <v>1956</v>
      </c>
      <c r="I302" s="47" t="s">
        <v>1957</v>
      </c>
      <c r="J302" s="47" t="s">
        <v>1958</v>
      </c>
      <c r="K302" s="44" t="s">
        <v>84</v>
      </c>
      <c r="L302" s="48" t="s">
        <v>155</v>
      </c>
      <c r="M302" s="48" t="s">
        <v>1500</v>
      </c>
      <c r="N302" s="50">
        <v>46360.0</v>
      </c>
      <c r="O302" s="48" t="s">
        <v>86</v>
      </c>
      <c r="P302" s="39"/>
      <c r="Q302" s="39"/>
      <c r="R302" s="39"/>
    </row>
    <row r="303" ht="120.0" customHeight="1">
      <c r="A303" s="40" t="s">
        <v>1959</v>
      </c>
      <c r="B303" s="41" t="s">
        <v>1960</v>
      </c>
      <c r="C303" s="42" t="s">
        <v>1961</v>
      </c>
      <c r="D303" s="51" t="s">
        <v>52</v>
      </c>
      <c r="E303" s="42" t="s">
        <v>1520</v>
      </c>
      <c r="F303" s="41" t="s">
        <v>1962</v>
      </c>
      <c r="G303" s="41" t="s">
        <v>1963</v>
      </c>
      <c r="H303" s="41" t="s">
        <v>1964</v>
      </c>
      <c r="I303" s="41" t="s">
        <v>1965</v>
      </c>
      <c r="J303" s="41" t="s">
        <v>1966</v>
      </c>
      <c r="K303" s="44" t="s">
        <v>84</v>
      </c>
      <c r="L303" s="42" t="s">
        <v>155</v>
      </c>
      <c r="M303" s="42" t="s">
        <v>1500</v>
      </c>
      <c r="N303" s="45">
        <v>46360.0</v>
      </c>
      <c r="O303" s="42" t="s">
        <v>86</v>
      </c>
      <c r="P303" s="39"/>
      <c r="Q303" s="39"/>
      <c r="R303" s="39"/>
    </row>
    <row r="304" ht="120.0" customHeight="1">
      <c r="A304" s="46" t="s">
        <v>1967</v>
      </c>
      <c r="B304" s="47" t="s">
        <v>1968</v>
      </c>
      <c r="C304" s="48" t="s">
        <v>1969</v>
      </c>
      <c r="D304" s="51" t="s">
        <v>52</v>
      </c>
      <c r="E304" s="48" t="s">
        <v>1520</v>
      </c>
      <c r="F304" s="47" t="s">
        <v>1970</v>
      </c>
      <c r="G304" s="47" t="s">
        <v>1971</v>
      </c>
      <c r="H304" s="47" t="s">
        <v>1972</v>
      </c>
      <c r="I304" s="47" t="s">
        <v>1973</v>
      </c>
      <c r="J304" s="47" t="s">
        <v>86</v>
      </c>
      <c r="K304" s="44" t="s">
        <v>84</v>
      </c>
      <c r="L304" s="48" t="s">
        <v>155</v>
      </c>
      <c r="M304" s="48" t="s">
        <v>1500</v>
      </c>
      <c r="N304" s="50">
        <v>46360.0</v>
      </c>
      <c r="O304" s="48" t="s">
        <v>86</v>
      </c>
      <c r="P304" s="39"/>
      <c r="Q304" s="39"/>
      <c r="R304" s="39"/>
    </row>
    <row r="305" ht="120.0" customHeight="1">
      <c r="A305" s="40" t="s">
        <v>1974</v>
      </c>
      <c r="B305" s="41" t="s">
        <v>1975</v>
      </c>
      <c r="C305" s="42" t="s">
        <v>1961</v>
      </c>
      <c r="D305" s="51" t="s">
        <v>52</v>
      </c>
      <c r="E305" s="42" t="s">
        <v>1520</v>
      </c>
      <c r="F305" s="41" t="s">
        <v>1976</v>
      </c>
      <c r="G305" s="41" t="s">
        <v>1977</v>
      </c>
      <c r="H305" s="41" t="s">
        <v>1978</v>
      </c>
      <c r="I305" s="41" t="s">
        <v>1979</v>
      </c>
      <c r="J305" s="41" t="s">
        <v>1980</v>
      </c>
      <c r="K305" s="44" t="s">
        <v>84</v>
      </c>
      <c r="L305" s="42" t="s">
        <v>155</v>
      </c>
      <c r="M305" s="42" t="s">
        <v>1500</v>
      </c>
      <c r="N305" s="45">
        <v>46360.0</v>
      </c>
      <c r="O305" s="42" t="s">
        <v>86</v>
      </c>
      <c r="P305" s="39"/>
      <c r="Q305" s="39"/>
      <c r="R305" s="39"/>
    </row>
    <row r="306" ht="120.0" customHeight="1">
      <c r="A306" s="46" t="s">
        <v>1981</v>
      </c>
      <c r="B306" s="47" t="s">
        <v>1982</v>
      </c>
      <c r="C306" s="48" t="s">
        <v>1983</v>
      </c>
      <c r="D306" s="51" t="s">
        <v>52</v>
      </c>
      <c r="E306" s="48" t="s">
        <v>1520</v>
      </c>
      <c r="F306" s="47" t="s">
        <v>1984</v>
      </c>
      <c r="G306" s="47" t="s">
        <v>1985</v>
      </c>
      <c r="H306" s="47" t="s">
        <v>1986</v>
      </c>
      <c r="I306" s="47" t="s">
        <v>1987</v>
      </c>
      <c r="J306" s="47" t="s">
        <v>1988</v>
      </c>
      <c r="K306" s="44" t="s">
        <v>84</v>
      </c>
      <c r="L306" s="48" t="s">
        <v>155</v>
      </c>
      <c r="M306" s="48" t="s">
        <v>1500</v>
      </c>
      <c r="N306" s="50">
        <v>46360.0</v>
      </c>
      <c r="O306" s="48" t="s">
        <v>86</v>
      </c>
      <c r="P306" s="39"/>
      <c r="Q306" s="39"/>
      <c r="R306" s="39"/>
    </row>
    <row r="307" ht="120.0" customHeight="1">
      <c r="A307" s="40" t="s">
        <v>1989</v>
      </c>
      <c r="B307" s="41" t="s">
        <v>1990</v>
      </c>
      <c r="C307" s="42" t="s">
        <v>1991</v>
      </c>
      <c r="D307" s="51" t="s">
        <v>52</v>
      </c>
      <c r="E307" s="42" t="s">
        <v>1520</v>
      </c>
      <c r="F307" s="41" t="s">
        <v>1992</v>
      </c>
      <c r="G307" s="41" t="s">
        <v>1993</v>
      </c>
      <c r="H307" s="41" t="s">
        <v>1994</v>
      </c>
      <c r="I307" s="41" t="s">
        <v>1995</v>
      </c>
      <c r="J307" s="41" t="s">
        <v>1996</v>
      </c>
      <c r="K307" s="44" t="s">
        <v>84</v>
      </c>
      <c r="L307" s="42" t="s">
        <v>155</v>
      </c>
      <c r="M307" s="42" t="s">
        <v>1500</v>
      </c>
      <c r="N307" s="45">
        <v>46360.0</v>
      </c>
      <c r="O307" s="42" t="s">
        <v>86</v>
      </c>
      <c r="P307" s="39"/>
      <c r="Q307" s="39"/>
      <c r="R307" s="39"/>
    </row>
    <row r="308" ht="120.0" customHeight="1">
      <c r="A308" s="46" t="s">
        <v>1997</v>
      </c>
      <c r="B308" s="47" t="s">
        <v>1998</v>
      </c>
      <c r="C308" s="48" t="s">
        <v>1911</v>
      </c>
      <c r="D308" s="51" t="s">
        <v>52</v>
      </c>
      <c r="E308" s="48" t="s">
        <v>1999</v>
      </c>
      <c r="F308" s="47" t="s">
        <v>2000</v>
      </c>
      <c r="G308" s="47" t="s">
        <v>2001</v>
      </c>
      <c r="H308" s="47" t="s">
        <v>2002</v>
      </c>
      <c r="I308" s="47" t="s">
        <v>2003</v>
      </c>
      <c r="J308" s="47" t="s">
        <v>2004</v>
      </c>
      <c r="K308" s="44" t="s">
        <v>84</v>
      </c>
      <c r="L308" s="48" t="s">
        <v>1704</v>
      </c>
      <c r="M308" s="48" t="s">
        <v>1500</v>
      </c>
      <c r="N308" s="50">
        <v>46360.0</v>
      </c>
      <c r="O308" s="48" t="s">
        <v>86</v>
      </c>
      <c r="P308" s="39"/>
      <c r="Q308" s="39"/>
      <c r="R308" s="39"/>
    </row>
    <row r="309" ht="120.0" customHeight="1">
      <c r="A309" s="40" t="s">
        <v>2005</v>
      </c>
      <c r="B309" s="41" t="s">
        <v>2006</v>
      </c>
      <c r="C309" s="42" t="s">
        <v>1835</v>
      </c>
      <c r="D309" s="51" t="s">
        <v>52</v>
      </c>
      <c r="E309" s="42" t="s">
        <v>1520</v>
      </c>
      <c r="F309" s="41" t="s">
        <v>2007</v>
      </c>
      <c r="G309" s="41" t="s">
        <v>2008</v>
      </c>
      <c r="H309" s="41" t="s">
        <v>2009</v>
      </c>
      <c r="I309" s="41" t="s">
        <v>2010</v>
      </c>
      <c r="J309" s="41" t="s">
        <v>2011</v>
      </c>
      <c r="K309" s="44" t="s">
        <v>84</v>
      </c>
      <c r="L309" s="42" t="s">
        <v>155</v>
      </c>
      <c r="M309" s="42" t="s">
        <v>1500</v>
      </c>
      <c r="N309" s="45">
        <v>46360.0</v>
      </c>
      <c r="O309" s="42" t="s">
        <v>86</v>
      </c>
      <c r="P309" s="39"/>
      <c r="Q309" s="39"/>
      <c r="R309" s="39"/>
    </row>
    <row r="310" ht="120.0" customHeight="1">
      <c r="A310" s="46" t="s">
        <v>2012</v>
      </c>
      <c r="B310" s="47" t="s">
        <v>2013</v>
      </c>
      <c r="C310" s="48" t="s">
        <v>1911</v>
      </c>
      <c r="D310" s="53" t="s">
        <v>55</v>
      </c>
      <c r="E310" s="48" t="s">
        <v>1494</v>
      </c>
      <c r="F310" s="47" t="s">
        <v>2014</v>
      </c>
      <c r="G310" s="47" t="s">
        <v>2015</v>
      </c>
      <c r="H310" s="47" t="s">
        <v>2016</v>
      </c>
      <c r="I310" s="47" t="s">
        <v>2017</v>
      </c>
      <c r="J310" s="47" t="s">
        <v>2018</v>
      </c>
      <c r="K310" s="44" t="s">
        <v>84</v>
      </c>
      <c r="L310" s="48" t="s">
        <v>1704</v>
      </c>
      <c r="M310" s="48" t="s">
        <v>1500</v>
      </c>
      <c r="N310" s="50">
        <v>46360.0</v>
      </c>
      <c r="O310" s="48" t="s">
        <v>86</v>
      </c>
      <c r="P310" s="39"/>
      <c r="Q310" s="39"/>
      <c r="R310" s="39"/>
    </row>
    <row r="311" ht="120.0" customHeight="1">
      <c r="A311" s="40" t="s">
        <v>2019</v>
      </c>
      <c r="B311" s="41" t="s">
        <v>2020</v>
      </c>
      <c r="C311" s="42" t="s">
        <v>2021</v>
      </c>
      <c r="D311" s="51" t="s">
        <v>52</v>
      </c>
      <c r="E311" s="42" t="s">
        <v>1520</v>
      </c>
      <c r="F311" s="41" t="s">
        <v>2022</v>
      </c>
      <c r="G311" s="41" t="s">
        <v>2023</v>
      </c>
      <c r="H311" s="41" t="s">
        <v>2024</v>
      </c>
      <c r="I311" s="41" t="s">
        <v>2025</v>
      </c>
      <c r="J311" s="41" t="s">
        <v>2026</v>
      </c>
      <c r="K311" s="44" t="s">
        <v>84</v>
      </c>
      <c r="L311" s="42" t="s">
        <v>155</v>
      </c>
      <c r="M311" s="42" t="s">
        <v>1500</v>
      </c>
      <c r="N311" s="45">
        <v>46360.0</v>
      </c>
      <c r="O311" s="42" t="s">
        <v>86</v>
      </c>
      <c r="P311" s="39"/>
      <c r="Q311" s="39"/>
      <c r="R311" s="39"/>
    </row>
    <row r="312" ht="120.0" customHeight="1">
      <c r="A312" s="46" t="s">
        <v>2027</v>
      </c>
      <c r="B312" s="47" t="s">
        <v>2028</v>
      </c>
      <c r="C312" s="48" t="s">
        <v>2021</v>
      </c>
      <c r="D312" s="51" t="s">
        <v>52</v>
      </c>
      <c r="E312" s="48" t="s">
        <v>1520</v>
      </c>
      <c r="F312" s="47" t="s">
        <v>2029</v>
      </c>
      <c r="G312" s="47" t="s">
        <v>2030</v>
      </c>
      <c r="H312" s="47" t="s">
        <v>2031</v>
      </c>
      <c r="I312" s="47" t="s">
        <v>2032</v>
      </c>
      <c r="J312" s="47" t="s">
        <v>2033</v>
      </c>
      <c r="K312" s="44" t="s">
        <v>84</v>
      </c>
      <c r="L312" s="48" t="s">
        <v>155</v>
      </c>
      <c r="M312" s="48" t="s">
        <v>1500</v>
      </c>
      <c r="N312" s="50">
        <v>46360.0</v>
      </c>
      <c r="O312" s="48" t="s">
        <v>86</v>
      </c>
      <c r="P312" s="39"/>
      <c r="Q312" s="39"/>
      <c r="R312" s="39"/>
    </row>
    <row r="313" ht="120.0" customHeight="1">
      <c r="A313" s="40" t="s">
        <v>2034</v>
      </c>
      <c r="B313" s="41" t="s">
        <v>2035</v>
      </c>
      <c r="C313" s="42" t="s">
        <v>2021</v>
      </c>
      <c r="D313" s="51" t="s">
        <v>52</v>
      </c>
      <c r="E313" s="42" t="s">
        <v>1520</v>
      </c>
      <c r="F313" s="41" t="s">
        <v>2036</v>
      </c>
      <c r="G313" s="41" t="s">
        <v>2037</v>
      </c>
      <c r="H313" s="41" t="s">
        <v>2038</v>
      </c>
      <c r="I313" s="41" t="s">
        <v>2039</v>
      </c>
      <c r="J313" s="41" t="s">
        <v>2040</v>
      </c>
      <c r="K313" s="44" t="s">
        <v>84</v>
      </c>
      <c r="L313" s="42" t="s">
        <v>155</v>
      </c>
      <c r="M313" s="42" t="s">
        <v>1500</v>
      </c>
      <c r="N313" s="45">
        <v>46360.0</v>
      </c>
      <c r="O313" s="42" t="s">
        <v>86</v>
      </c>
      <c r="P313" s="39"/>
      <c r="Q313" s="39"/>
      <c r="R313" s="39"/>
    </row>
    <row r="314" ht="120.0" customHeight="1">
      <c r="A314" s="46" t="s">
        <v>2041</v>
      </c>
      <c r="B314" s="47" t="s">
        <v>2042</v>
      </c>
      <c r="C314" s="48" t="s">
        <v>2021</v>
      </c>
      <c r="D314" s="51" t="s">
        <v>52</v>
      </c>
      <c r="E314" s="48" t="s">
        <v>1520</v>
      </c>
      <c r="F314" s="47" t="s">
        <v>2043</v>
      </c>
      <c r="G314" s="47" t="s">
        <v>2044</v>
      </c>
      <c r="H314" s="47" t="s">
        <v>2045</v>
      </c>
      <c r="I314" s="47" t="s">
        <v>2046</v>
      </c>
      <c r="J314" s="47" t="s">
        <v>2047</v>
      </c>
      <c r="K314" s="44" t="s">
        <v>84</v>
      </c>
      <c r="L314" s="48" t="s">
        <v>1704</v>
      </c>
      <c r="M314" s="48" t="s">
        <v>1500</v>
      </c>
      <c r="N314" s="50">
        <v>46360.0</v>
      </c>
      <c r="O314" s="48" t="s">
        <v>86</v>
      </c>
      <c r="P314" s="39"/>
      <c r="Q314" s="39"/>
      <c r="R314" s="39"/>
    </row>
    <row r="315" ht="120.0" customHeight="1">
      <c r="A315" s="40" t="s">
        <v>2048</v>
      </c>
      <c r="B315" s="41" t="s">
        <v>2049</v>
      </c>
      <c r="C315" s="42" t="s">
        <v>656</v>
      </c>
      <c r="D315" s="51" t="s">
        <v>52</v>
      </c>
      <c r="E315" s="42" t="s">
        <v>1682</v>
      </c>
      <c r="F315" s="41" t="s">
        <v>2050</v>
      </c>
      <c r="G315" s="41" t="s">
        <v>2051</v>
      </c>
      <c r="H315" s="41" t="s">
        <v>2052</v>
      </c>
      <c r="I315" s="41" t="s">
        <v>2053</v>
      </c>
      <c r="J315" s="41" t="s">
        <v>2054</v>
      </c>
      <c r="K315" s="44" t="s">
        <v>84</v>
      </c>
      <c r="L315" s="42" t="s">
        <v>155</v>
      </c>
      <c r="M315" s="42" t="s">
        <v>1500</v>
      </c>
      <c r="N315" s="45">
        <v>46360.0</v>
      </c>
      <c r="O315" s="42" t="s">
        <v>86</v>
      </c>
      <c r="P315" s="39"/>
      <c r="Q315" s="39"/>
      <c r="R315" s="39"/>
    </row>
    <row r="316" ht="120.0" customHeight="1">
      <c r="A316" s="46" t="s">
        <v>2055</v>
      </c>
      <c r="B316" s="47" t="s">
        <v>2056</v>
      </c>
      <c r="C316" s="48" t="s">
        <v>2057</v>
      </c>
      <c r="D316" s="43" t="s">
        <v>49</v>
      </c>
      <c r="E316" s="48" t="s">
        <v>2058</v>
      </c>
      <c r="F316" s="47" t="s">
        <v>2059</v>
      </c>
      <c r="G316" s="47" t="s">
        <v>2060</v>
      </c>
      <c r="H316" s="47" t="s">
        <v>2061</v>
      </c>
      <c r="I316" s="47" t="s">
        <v>2062</v>
      </c>
      <c r="J316" s="47" t="s">
        <v>2063</v>
      </c>
      <c r="K316" s="44" t="s">
        <v>84</v>
      </c>
      <c r="L316" s="48" t="s">
        <v>85</v>
      </c>
      <c r="M316" s="48" t="s">
        <v>2064</v>
      </c>
      <c r="N316" s="48" t="s">
        <v>2065</v>
      </c>
      <c r="O316" s="48" t="s">
        <v>86</v>
      </c>
      <c r="P316" s="58"/>
      <c r="Q316" s="58"/>
      <c r="R316" s="58"/>
    </row>
    <row r="317" ht="120.0" customHeight="1">
      <c r="A317" s="40" t="s">
        <v>2066</v>
      </c>
      <c r="B317" s="41" t="s">
        <v>2067</v>
      </c>
      <c r="C317" s="42" t="s">
        <v>2068</v>
      </c>
      <c r="D317" s="51" t="s">
        <v>52</v>
      </c>
      <c r="E317" s="42" t="s">
        <v>78</v>
      </c>
      <c r="F317" s="41" t="s">
        <v>2069</v>
      </c>
      <c r="G317" s="41" t="s">
        <v>2070</v>
      </c>
      <c r="H317" s="41" t="s">
        <v>2071</v>
      </c>
      <c r="I317" s="41" t="s">
        <v>2072</v>
      </c>
      <c r="J317" s="41" t="s">
        <v>2073</v>
      </c>
      <c r="K317" s="44" t="s">
        <v>84</v>
      </c>
      <c r="L317" s="42" t="s">
        <v>85</v>
      </c>
      <c r="M317" s="42" t="s">
        <v>2064</v>
      </c>
      <c r="N317" s="42" t="s">
        <v>2065</v>
      </c>
      <c r="O317" s="42" t="s">
        <v>86</v>
      </c>
      <c r="P317" s="58"/>
      <c r="Q317" s="58"/>
      <c r="R317" s="58"/>
    </row>
    <row r="318" ht="120.0" customHeight="1">
      <c r="A318" s="46" t="s">
        <v>2074</v>
      </c>
      <c r="B318" s="47" t="s">
        <v>2075</v>
      </c>
      <c r="C318" s="48" t="s">
        <v>2076</v>
      </c>
      <c r="D318" s="51" t="s">
        <v>52</v>
      </c>
      <c r="E318" s="48" t="s">
        <v>78</v>
      </c>
      <c r="F318" s="47" t="s">
        <v>2069</v>
      </c>
      <c r="G318" s="47" t="s">
        <v>2077</v>
      </c>
      <c r="H318" s="47" t="s">
        <v>2078</v>
      </c>
      <c r="I318" s="47" t="s">
        <v>2079</v>
      </c>
      <c r="J318" s="47" t="s">
        <v>2073</v>
      </c>
      <c r="K318" s="44" t="s">
        <v>84</v>
      </c>
      <c r="L318" s="48" t="s">
        <v>85</v>
      </c>
      <c r="M318" s="48" t="s">
        <v>2064</v>
      </c>
      <c r="N318" s="48" t="s">
        <v>2065</v>
      </c>
      <c r="O318" s="48" t="s">
        <v>86</v>
      </c>
      <c r="P318" s="58"/>
      <c r="Q318" s="58"/>
      <c r="R318" s="58"/>
    </row>
    <row r="319" ht="120.0" customHeight="1">
      <c r="A319" s="40" t="s">
        <v>2080</v>
      </c>
      <c r="B319" s="41" t="s">
        <v>2081</v>
      </c>
      <c r="C319" s="42" t="s">
        <v>2076</v>
      </c>
      <c r="D319" s="51" t="s">
        <v>52</v>
      </c>
      <c r="E319" s="42" t="s">
        <v>2082</v>
      </c>
      <c r="F319" s="41" t="s">
        <v>2083</v>
      </c>
      <c r="G319" s="41" t="s">
        <v>2084</v>
      </c>
      <c r="H319" s="41" t="s">
        <v>2085</v>
      </c>
      <c r="I319" s="41" t="s">
        <v>2086</v>
      </c>
      <c r="J319" s="41" t="s">
        <v>2087</v>
      </c>
      <c r="K319" s="49" t="s">
        <v>96</v>
      </c>
      <c r="L319" s="42" t="s">
        <v>85</v>
      </c>
      <c r="M319" s="42" t="s">
        <v>2064</v>
      </c>
      <c r="N319" s="42" t="s">
        <v>2065</v>
      </c>
      <c r="O319" s="42" t="s">
        <v>2088</v>
      </c>
      <c r="P319" s="58"/>
      <c r="Q319" s="58"/>
      <c r="R319" s="58"/>
    </row>
    <row r="320" ht="120.0" customHeight="1">
      <c r="A320" s="46" t="s">
        <v>2089</v>
      </c>
      <c r="B320" s="47" t="s">
        <v>2090</v>
      </c>
      <c r="C320" s="48" t="s">
        <v>2091</v>
      </c>
      <c r="D320" s="51" t="s">
        <v>52</v>
      </c>
      <c r="E320" s="48" t="s">
        <v>2082</v>
      </c>
      <c r="F320" s="47" t="s">
        <v>2083</v>
      </c>
      <c r="G320" s="47" t="s">
        <v>2092</v>
      </c>
      <c r="H320" s="47" t="s">
        <v>2093</v>
      </c>
      <c r="I320" s="47" t="s">
        <v>2094</v>
      </c>
      <c r="J320" s="47" t="s">
        <v>2095</v>
      </c>
      <c r="K320" s="49" t="s">
        <v>96</v>
      </c>
      <c r="L320" s="48" t="s">
        <v>155</v>
      </c>
      <c r="M320" s="48" t="s">
        <v>2064</v>
      </c>
      <c r="N320" s="48" t="s">
        <v>2065</v>
      </c>
      <c r="O320" s="48" t="s">
        <v>2096</v>
      </c>
      <c r="P320" s="58"/>
      <c r="Q320" s="58"/>
      <c r="R320" s="58"/>
    </row>
    <row r="321" ht="120.0" customHeight="1">
      <c r="A321" s="40" t="s">
        <v>2097</v>
      </c>
      <c r="B321" s="41" t="s">
        <v>2098</v>
      </c>
      <c r="C321" s="42" t="s">
        <v>2091</v>
      </c>
      <c r="D321" s="51" t="s">
        <v>52</v>
      </c>
      <c r="E321" s="42" t="s">
        <v>2099</v>
      </c>
      <c r="F321" s="41" t="s">
        <v>2083</v>
      </c>
      <c r="G321" s="41" t="s">
        <v>2100</v>
      </c>
      <c r="H321" s="41" t="s">
        <v>2101</v>
      </c>
      <c r="I321" s="41" t="s">
        <v>2102</v>
      </c>
      <c r="J321" s="41" t="s">
        <v>2103</v>
      </c>
      <c r="K321" s="49" t="s">
        <v>96</v>
      </c>
      <c r="L321" s="42" t="s">
        <v>85</v>
      </c>
      <c r="M321" s="42" t="s">
        <v>2064</v>
      </c>
      <c r="N321" s="42" t="s">
        <v>2065</v>
      </c>
      <c r="O321" s="42" t="s">
        <v>2104</v>
      </c>
      <c r="P321" s="58"/>
      <c r="Q321" s="58"/>
      <c r="R321" s="58"/>
    </row>
    <row r="322" ht="120.0" customHeight="1">
      <c r="A322" s="46" t="s">
        <v>2105</v>
      </c>
      <c r="B322" s="47" t="s">
        <v>2106</v>
      </c>
      <c r="C322" s="48" t="s">
        <v>2107</v>
      </c>
      <c r="D322" s="51" t="s">
        <v>52</v>
      </c>
      <c r="E322" s="48" t="s">
        <v>78</v>
      </c>
      <c r="F322" s="47" t="s">
        <v>2069</v>
      </c>
      <c r="G322" s="47" t="s">
        <v>2108</v>
      </c>
      <c r="H322" s="47" t="s">
        <v>2109</v>
      </c>
      <c r="I322" s="47" t="s">
        <v>2110</v>
      </c>
      <c r="J322" s="47" t="s">
        <v>2073</v>
      </c>
      <c r="K322" s="44" t="s">
        <v>84</v>
      </c>
      <c r="L322" s="48" t="s">
        <v>85</v>
      </c>
      <c r="M322" s="48" t="s">
        <v>2064</v>
      </c>
      <c r="N322" s="48" t="s">
        <v>2065</v>
      </c>
      <c r="O322" s="48" t="s">
        <v>86</v>
      </c>
      <c r="P322" s="58"/>
      <c r="Q322" s="58"/>
      <c r="R322" s="58"/>
    </row>
    <row r="323" ht="120.0" customHeight="1">
      <c r="A323" s="40" t="s">
        <v>2111</v>
      </c>
      <c r="B323" s="41" t="s">
        <v>2112</v>
      </c>
      <c r="C323" s="42" t="s">
        <v>2107</v>
      </c>
      <c r="D323" s="51" t="s">
        <v>52</v>
      </c>
      <c r="E323" s="42" t="s">
        <v>2099</v>
      </c>
      <c r="F323" s="41" t="s">
        <v>2069</v>
      </c>
      <c r="G323" s="41" t="s">
        <v>2113</v>
      </c>
      <c r="H323" s="41" t="s">
        <v>2114</v>
      </c>
      <c r="I323" s="41" t="s">
        <v>2115</v>
      </c>
      <c r="J323" s="41" t="s">
        <v>2116</v>
      </c>
      <c r="K323" s="49" t="s">
        <v>96</v>
      </c>
      <c r="L323" s="42" t="s">
        <v>155</v>
      </c>
      <c r="M323" s="42" t="s">
        <v>2064</v>
      </c>
      <c r="N323" s="42" t="s">
        <v>2065</v>
      </c>
      <c r="O323" s="42" t="s">
        <v>2117</v>
      </c>
      <c r="P323" s="58"/>
      <c r="Q323" s="58"/>
      <c r="R323" s="58"/>
    </row>
    <row r="324" ht="120.0" customHeight="1">
      <c r="A324" s="46" t="s">
        <v>2118</v>
      </c>
      <c r="B324" s="47" t="s">
        <v>2119</v>
      </c>
      <c r="C324" s="48" t="s">
        <v>2107</v>
      </c>
      <c r="D324" s="51" t="s">
        <v>52</v>
      </c>
      <c r="E324" s="48" t="s">
        <v>2099</v>
      </c>
      <c r="F324" s="47" t="s">
        <v>2069</v>
      </c>
      <c r="G324" s="47" t="s">
        <v>2120</v>
      </c>
      <c r="H324" s="47" t="s">
        <v>2121</v>
      </c>
      <c r="I324" s="47" t="s">
        <v>2122</v>
      </c>
      <c r="J324" s="47" t="s">
        <v>2123</v>
      </c>
      <c r="K324" s="49" t="s">
        <v>96</v>
      </c>
      <c r="L324" s="48" t="s">
        <v>155</v>
      </c>
      <c r="M324" s="48" t="s">
        <v>2064</v>
      </c>
      <c r="N324" s="48" t="s">
        <v>2065</v>
      </c>
      <c r="O324" s="48" t="s">
        <v>2124</v>
      </c>
      <c r="P324" s="58"/>
      <c r="Q324" s="58"/>
      <c r="R324" s="58"/>
    </row>
    <row r="325" ht="120.0" customHeight="1">
      <c r="A325" s="40" t="s">
        <v>2125</v>
      </c>
      <c r="B325" s="41" t="s">
        <v>2126</v>
      </c>
      <c r="C325" s="42" t="s">
        <v>2107</v>
      </c>
      <c r="D325" s="51" t="s">
        <v>52</v>
      </c>
      <c r="E325" s="42" t="s">
        <v>2099</v>
      </c>
      <c r="F325" s="41" t="s">
        <v>2127</v>
      </c>
      <c r="G325" s="41" t="s">
        <v>2128</v>
      </c>
      <c r="H325" s="41" t="s">
        <v>2129</v>
      </c>
      <c r="I325" s="41" t="s">
        <v>2130</v>
      </c>
      <c r="J325" s="41" t="s">
        <v>2131</v>
      </c>
      <c r="K325" s="44" t="s">
        <v>84</v>
      </c>
      <c r="L325" s="42" t="s">
        <v>85</v>
      </c>
      <c r="M325" s="42" t="s">
        <v>2064</v>
      </c>
      <c r="N325" s="42" t="s">
        <v>2065</v>
      </c>
      <c r="O325" s="42" t="s">
        <v>86</v>
      </c>
      <c r="P325" s="58"/>
      <c r="Q325" s="58"/>
      <c r="R325" s="58"/>
    </row>
    <row r="326" ht="120.0" customHeight="1">
      <c r="A326" s="46" t="s">
        <v>2132</v>
      </c>
      <c r="B326" s="47" t="s">
        <v>2133</v>
      </c>
      <c r="C326" s="48" t="s">
        <v>2134</v>
      </c>
      <c r="D326" s="51" t="s">
        <v>52</v>
      </c>
      <c r="E326" s="48" t="s">
        <v>78</v>
      </c>
      <c r="F326" s="47" t="s">
        <v>2069</v>
      </c>
      <c r="G326" s="47" t="s">
        <v>2135</v>
      </c>
      <c r="H326" s="47" t="s">
        <v>2136</v>
      </c>
      <c r="I326" s="47" t="s">
        <v>2137</v>
      </c>
      <c r="J326" s="47" t="s">
        <v>2138</v>
      </c>
      <c r="K326" s="44" t="s">
        <v>84</v>
      </c>
      <c r="L326" s="48" t="s">
        <v>85</v>
      </c>
      <c r="M326" s="48" t="s">
        <v>2064</v>
      </c>
      <c r="N326" s="48" t="s">
        <v>2065</v>
      </c>
      <c r="O326" s="48" t="s">
        <v>86</v>
      </c>
      <c r="P326" s="58"/>
      <c r="Q326" s="58"/>
      <c r="R326" s="58"/>
    </row>
    <row r="327" ht="120.0" customHeight="1">
      <c r="A327" s="40" t="s">
        <v>2139</v>
      </c>
      <c r="B327" s="41" t="s">
        <v>2140</v>
      </c>
      <c r="C327" s="42" t="s">
        <v>2134</v>
      </c>
      <c r="D327" s="51" t="s">
        <v>52</v>
      </c>
      <c r="E327" s="42" t="s">
        <v>78</v>
      </c>
      <c r="F327" s="41" t="s">
        <v>2069</v>
      </c>
      <c r="G327" s="41" t="s">
        <v>2141</v>
      </c>
      <c r="H327" s="41" t="s">
        <v>2142</v>
      </c>
      <c r="I327" s="41" t="s">
        <v>2143</v>
      </c>
      <c r="J327" s="41" t="s">
        <v>2144</v>
      </c>
      <c r="K327" s="44" t="s">
        <v>84</v>
      </c>
      <c r="L327" s="42" t="s">
        <v>155</v>
      </c>
      <c r="M327" s="42" t="s">
        <v>2064</v>
      </c>
      <c r="N327" s="42" t="s">
        <v>2065</v>
      </c>
      <c r="O327" s="42" t="s">
        <v>86</v>
      </c>
      <c r="P327" s="58"/>
      <c r="Q327" s="58"/>
      <c r="R327" s="58"/>
    </row>
    <row r="328" ht="120.0" customHeight="1">
      <c r="A328" s="46" t="s">
        <v>2145</v>
      </c>
      <c r="B328" s="47" t="s">
        <v>2146</v>
      </c>
      <c r="C328" s="48" t="s">
        <v>2147</v>
      </c>
      <c r="D328" s="51" t="s">
        <v>52</v>
      </c>
      <c r="E328" s="48" t="s">
        <v>2148</v>
      </c>
      <c r="F328" s="47" t="s">
        <v>2069</v>
      </c>
      <c r="G328" s="47" t="s">
        <v>2149</v>
      </c>
      <c r="H328" s="47" t="s">
        <v>2150</v>
      </c>
      <c r="I328" s="47" t="s">
        <v>2151</v>
      </c>
      <c r="J328" s="47" t="s">
        <v>2152</v>
      </c>
      <c r="K328" s="44" t="s">
        <v>84</v>
      </c>
      <c r="L328" s="48" t="s">
        <v>85</v>
      </c>
      <c r="M328" s="48" t="s">
        <v>2064</v>
      </c>
      <c r="N328" s="48" t="s">
        <v>2065</v>
      </c>
      <c r="O328" s="48" t="s">
        <v>86</v>
      </c>
      <c r="P328" s="58"/>
      <c r="Q328" s="58"/>
      <c r="R328" s="58"/>
    </row>
    <row r="329" ht="120.0" customHeight="1">
      <c r="A329" s="40" t="s">
        <v>2153</v>
      </c>
      <c r="B329" s="41" t="s">
        <v>2154</v>
      </c>
      <c r="C329" s="42" t="s">
        <v>2155</v>
      </c>
      <c r="D329" s="51" t="s">
        <v>52</v>
      </c>
      <c r="E329" s="42" t="s">
        <v>2156</v>
      </c>
      <c r="F329" s="41" t="s">
        <v>2157</v>
      </c>
      <c r="G329" s="41" t="s">
        <v>2158</v>
      </c>
      <c r="H329" s="41" t="s">
        <v>2159</v>
      </c>
      <c r="I329" s="41" t="s">
        <v>2160</v>
      </c>
      <c r="J329" s="41" t="s">
        <v>2161</v>
      </c>
      <c r="K329" s="44" t="s">
        <v>84</v>
      </c>
      <c r="L329" s="42" t="s">
        <v>155</v>
      </c>
      <c r="M329" s="42" t="s">
        <v>2064</v>
      </c>
      <c r="N329" s="42" t="s">
        <v>2065</v>
      </c>
      <c r="O329" s="42" t="s">
        <v>86</v>
      </c>
      <c r="P329" s="58"/>
      <c r="Q329" s="58"/>
      <c r="R329" s="58"/>
    </row>
    <row r="330" ht="120.0" customHeight="1">
      <c r="A330" s="46" t="s">
        <v>2162</v>
      </c>
      <c r="B330" s="47" t="s">
        <v>2163</v>
      </c>
      <c r="C330" s="48" t="s">
        <v>2155</v>
      </c>
      <c r="D330" s="51" t="s">
        <v>52</v>
      </c>
      <c r="E330" s="48" t="s">
        <v>2164</v>
      </c>
      <c r="F330" s="47" t="s">
        <v>2157</v>
      </c>
      <c r="G330" s="47" t="s">
        <v>2165</v>
      </c>
      <c r="H330" s="47" t="s">
        <v>2166</v>
      </c>
      <c r="I330" s="47" t="s">
        <v>2167</v>
      </c>
      <c r="J330" s="47" t="s">
        <v>2168</v>
      </c>
      <c r="K330" s="49" t="s">
        <v>96</v>
      </c>
      <c r="L330" s="48" t="s">
        <v>155</v>
      </c>
      <c r="M330" s="48" t="s">
        <v>2064</v>
      </c>
      <c r="N330" s="48" t="s">
        <v>2065</v>
      </c>
      <c r="O330" s="48" t="s">
        <v>2169</v>
      </c>
      <c r="P330" s="58"/>
      <c r="Q330" s="58"/>
      <c r="R330" s="58"/>
    </row>
    <row r="331" ht="120.0" customHeight="1">
      <c r="A331" s="40" t="s">
        <v>2170</v>
      </c>
      <c r="B331" s="41" t="s">
        <v>2171</v>
      </c>
      <c r="C331" s="42" t="s">
        <v>2155</v>
      </c>
      <c r="D331" s="51" t="s">
        <v>52</v>
      </c>
      <c r="E331" s="42" t="s">
        <v>2164</v>
      </c>
      <c r="F331" s="41" t="s">
        <v>2157</v>
      </c>
      <c r="G331" s="41" t="s">
        <v>2172</v>
      </c>
      <c r="H331" s="41" t="s">
        <v>2173</v>
      </c>
      <c r="I331" s="41" t="s">
        <v>2174</v>
      </c>
      <c r="J331" s="41" t="s">
        <v>2175</v>
      </c>
      <c r="K331" s="49" t="s">
        <v>96</v>
      </c>
      <c r="L331" s="42" t="s">
        <v>155</v>
      </c>
      <c r="M331" s="42" t="s">
        <v>2064</v>
      </c>
      <c r="N331" s="42" t="s">
        <v>2065</v>
      </c>
      <c r="O331" s="42" t="s">
        <v>2176</v>
      </c>
      <c r="P331" s="58"/>
      <c r="Q331" s="58"/>
      <c r="R331" s="58"/>
    </row>
    <row r="332" ht="120.0" customHeight="1">
      <c r="A332" s="46" t="s">
        <v>2177</v>
      </c>
      <c r="B332" s="47" t="s">
        <v>2178</v>
      </c>
      <c r="C332" s="48" t="s">
        <v>2155</v>
      </c>
      <c r="D332" s="51" t="s">
        <v>52</v>
      </c>
      <c r="E332" s="48" t="s">
        <v>2164</v>
      </c>
      <c r="F332" s="47" t="s">
        <v>2157</v>
      </c>
      <c r="G332" s="47" t="s">
        <v>2179</v>
      </c>
      <c r="H332" s="47" t="s">
        <v>2180</v>
      </c>
      <c r="I332" s="47" t="s">
        <v>2181</v>
      </c>
      <c r="J332" s="47" t="s">
        <v>2182</v>
      </c>
      <c r="K332" s="49" t="s">
        <v>96</v>
      </c>
      <c r="L332" s="48" t="s">
        <v>155</v>
      </c>
      <c r="M332" s="48" t="s">
        <v>2064</v>
      </c>
      <c r="N332" s="48" t="s">
        <v>2065</v>
      </c>
      <c r="O332" s="48" t="s">
        <v>2183</v>
      </c>
      <c r="P332" s="58"/>
      <c r="Q332" s="58"/>
      <c r="R332" s="58"/>
    </row>
    <row r="333" ht="120.0" customHeight="1">
      <c r="A333" s="40" t="s">
        <v>2184</v>
      </c>
      <c r="B333" s="41" t="s">
        <v>2185</v>
      </c>
      <c r="C333" s="42" t="s">
        <v>2155</v>
      </c>
      <c r="D333" s="51" t="s">
        <v>52</v>
      </c>
      <c r="E333" s="42" t="s">
        <v>2164</v>
      </c>
      <c r="F333" s="41" t="s">
        <v>2157</v>
      </c>
      <c r="G333" s="41" t="s">
        <v>2186</v>
      </c>
      <c r="H333" s="41" t="s">
        <v>2187</v>
      </c>
      <c r="I333" s="41" t="s">
        <v>2188</v>
      </c>
      <c r="J333" s="41" t="s">
        <v>2189</v>
      </c>
      <c r="K333" s="49" t="s">
        <v>96</v>
      </c>
      <c r="L333" s="42" t="s">
        <v>155</v>
      </c>
      <c r="M333" s="42" t="s">
        <v>2064</v>
      </c>
      <c r="N333" s="42" t="s">
        <v>2065</v>
      </c>
      <c r="O333" s="42" t="s">
        <v>2190</v>
      </c>
      <c r="P333" s="58"/>
      <c r="Q333" s="58"/>
      <c r="R333" s="58"/>
    </row>
    <row r="334" ht="120.0" customHeight="1">
      <c r="A334" s="46" t="s">
        <v>2191</v>
      </c>
      <c r="B334" s="47" t="s">
        <v>2192</v>
      </c>
      <c r="C334" s="48" t="s">
        <v>2155</v>
      </c>
      <c r="D334" s="51" t="s">
        <v>52</v>
      </c>
      <c r="E334" s="48" t="s">
        <v>2156</v>
      </c>
      <c r="F334" s="47" t="s">
        <v>2157</v>
      </c>
      <c r="G334" s="47" t="s">
        <v>2193</v>
      </c>
      <c r="H334" s="47" t="s">
        <v>2194</v>
      </c>
      <c r="I334" s="47" t="s">
        <v>2195</v>
      </c>
      <c r="J334" s="47" t="s">
        <v>2196</v>
      </c>
      <c r="K334" s="49" t="s">
        <v>96</v>
      </c>
      <c r="L334" s="48" t="s">
        <v>155</v>
      </c>
      <c r="M334" s="48" t="s">
        <v>2064</v>
      </c>
      <c r="N334" s="48" t="s">
        <v>2065</v>
      </c>
      <c r="O334" s="48" t="s">
        <v>2197</v>
      </c>
      <c r="P334" s="58"/>
      <c r="Q334" s="58"/>
      <c r="R334" s="58"/>
    </row>
    <row r="335" ht="120.0" customHeight="1">
      <c r="A335" s="40" t="s">
        <v>2198</v>
      </c>
      <c r="B335" s="41" t="s">
        <v>2199</v>
      </c>
      <c r="C335" s="42" t="s">
        <v>2155</v>
      </c>
      <c r="D335" s="51" t="s">
        <v>52</v>
      </c>
      <c r="E335" s="42" t="s">
        <v>2156</v>
      </c>
      <c r="F335" s="41" t="s">
        <v>2157</v>
      </c>
      <c r="G335" s="41" t="s">
        <v>2200</v>
      </c>
      <c r="H335" s="41" t="s">
        <v>2201</v>
      </c>
      <c r="I335" s="41" t="s">
        <v>2202</v>
      </c>
      <c r="J335" s="41" t="s">
        <v>2203</v>
      </c>
      <c r="K335" s="44" t="s">
        <v>84</v>
      </c>
      <c r="L335" s="42" t="s">
        <v>155</v>
      </c>
      <c r="M335" s="42" t="s">
        <v>2064</v>
      </c>
      <c r="N335" s="42" t="s">
        <v>2065</v>
      </c>
      <c r="O335" s="42" t="s">
        <v>86</v>
      </c>
      <c r="P335" s="58"/>
      <c r="Q335" s="58"/>
      <c r="R335" s="58"/>
    </row>
    <row r="336" ht="120.0" customHeight="1">
      <c r="A336" s="46" t="s">
        <v>2204</v>
      </c>
      <c r="B336" s="47" t="s">
        <v>2205</v>
      </c>
      <c r="C336" s="48" t="s">
        <v>2206</v>
      </c>
      <c r="D336" s="51" t="s">
        <v>52</v>
      </c>
      <c r="E336" s="48" t="s">
        <v>2207</v>
      </c>
      <c r="F336" s="47" t="s">
        <v>2157</v>
      </c>
      <c r="G336" s="47" t="s">
        <v>2208</v>
      </c>
      <c r="H336" s="47" t="s">
        <v>2209</v>
      </c>
      <c r="I336" s="47" t="s">
        <v>2210</v>
      </c>
      <c r="J336" s="47" t="s">
        <v>2211</v>
      </c>
      <c r="K336" s="44" t="s">
        <v>84</v>
      </c>
      <c r="L336" s="48" t="s">
        <v>155</v>
      </c>
      <c r="M336" s="48" t="s">
        <v>2064</v>
      </c>
      <c r="N336" s="48" t="s">
        <v>2065</v>
      </c>
      <c r="O336" s="48" t="s">
        <v>86</v>
      </c>
      <c r="P336" s="58"/>
      <c r="Q336" s="58"/>
      <c r="R336" s="58"/>
    </row>
    <row r="337" ht="120.0" customHeight="1">
      <c r="A337" s="40" t="s">
        <v>2212</v>
      </c>
      <c r="B337" s="41" t="s">
        <v>2213</v>
      </c>
      <c r="C337" s="42" t="s">
        <v>2214</v>
      </c>
      <c r="D337" s="51" t="s">
        <v>52</v>
      </c>
      <c r="E337" s="42" t="s">
        <v>2207</v>
      </c>
      <c r="F337" s="41" t="s">
        <v>2069</v>
      </c>
      <c r="G337" s="41" t="s">
        <v>2215</v>
      </c>
      <c r="H337" s="41" t="s">
        <v>2209</v>
      </c>
      <c r="I337" s="41" t="s">
        <v>2216</v>
      </c>
      <c r="J337" s="41" t="s">
        <v>2217</v>
      </c>
      <c r="K337" s="44" t="s">
        <v>84</v>
      </c>
      <c r="L337" s="42" t="s">
        <v>85</v>
      </c>
      <c r="M337" s="42" t="s">
        <v>2064</v>
      </c>
      <c r="N337" s="42" t="s">
        <v>2065</v>
      </c>
      <c r="O337" s="42" t="s">
        <v>86</v>
      </c>
      <c r="P337" s="58"/>
      <c r="Q337" s="58"/>
      <c r="R337" s="58"/>
    </row>
    <row r="338" ht="120.0" customHeight="1">
      <c r="A338" s="46" t="s">
        <v>2218</v>
      </c>
      <c r="B338" s="47" t="s">
        <v>2219</v>
      </c>
      <c r="C338" s="48" t="s">
        <v>2220</v>
      </c>
      <c r="D338" s="51" t="s">
        <v>52</v>
      </c>
      <c r="E338" s="48" t="s">
        <v>2058</v>
      </c>
      <c r="F338" s="47" t="s">
        <v>2069</v>
      </c>
      <c r="G338" s="47" t="s">
        <v>2221</v>
      </c>
      <c r="H338" s="47" t="s">
        <v>2222</v>
      </c>
      <c r="I338" s="47" t="s">
        <v>2223</v>
      </c>
      <c r="J338" s="47" t="s">
        <v>2224</v>
      </c>
      <c r="K338" s="44" t="s">
        <v>84</v>
      </c>
      <c r="L338" s="48" t="s">
        <v>155</v>
      </c>
      <c r="M338" s="48" t="s">
        <v>2064</v>
      </c>
      <c r="N338" s="48" t="s">
        <v>2065</v>
      </c>
      <c r="O338" s="48" t="s">
        <v>86</v>
      </c>
      <c r="P338" s="58"/>
      <c r="Q338" s="58"/>
      <c r="R338" s="58"/>
    </row>
    <row r="339" ht="120.0" customHeight="1">
      <c r="A339" s="40" t="s">
        <v>2225</v>
      </c>
      <c r="B339" s="41" t="s">
        <v>2226</v>
      </c>
      <c r="C339" s="42" t="s">
        <v>2227</v>
      </c>
      <c r="D339" s="51" t="s">
        <v>52</v>
      </c>
      <c r="E339" s="42" t="s">
        <v>2058</v>
      </c>
      <c r="F339" s="41" t="s">
        <v>2228</v>
      </c>
      <c r="G339" s="41" t="s">
        <v>2229</v>
      </c>
      <c r="H339" s="41" t="s">
        <v>2209</v>
      </c>
      <c r="I339" s="41" t="s">
        <v>2230</v>
      </c>
      <c r="J339" s="41" t="s">
        <v>2231</v>
      </c>
      <c r="K339" s="44" t="s">
        <v>84</v>
      </c>
      <c r="L339" s="42" t="s">
        <v>85</v>
      </c>
      <c r="M339" s="42" t="s">
        <v>2064</v>
      </c>
      <c r="N339" s="42" t="s">
        <v>2065</v>
      </c>
      <c r="O339" s="42" t="s">
        <v>86</v>
      </c>
      <c r="P339" s="58"/>
      <c r="Q339" s="58"/>
      <c r="R339" s="58"/>
    </row>
    <row r="340" ht="120.0" customHeight="1">
      <c r="A340" s="46" t="s">
        <v>2232</v>
      </c>
      <c r="B340" s="47" t="s">
        <v>2233</v>
      </c>
      <c r="C340" s="48" t="s">
        <v>2234</v>
      </c>
      <c r="D340" s="51" t="s">
        <v>52</v>
      </c>
      <c r="E340" s="48" t="s">
        <v>2058</v>
      </c>
      <c r="F340" s="47" t="s">
        <v>2235</v>
      </c>
      <c r="G340" s="47" t="s">
        <v>2236</v>
      </c>
      <c r="H340" s="47" t="s">
        <v>2237</v>
      </c>
      <c r="I340" s="47" t="s">
        <v>2238</v>
      </c>
      <c r="J340" s="47" t="s">
        <v>2239</v>
      </c>
      <c r="K340" s="44" t="s">
        <v>84</v>
      </c>
      <c r="L340" s="48" t="s">
        <v>85</v>
      </c>
      <c r="M340" s="48" t="s">
        <v>2064</v>
      </c>
      <c r="N340" s="48" t="s">
        <v>2065</v>
      </c>
      <c r="O340" s="48" t="s">
        <v>86</v>
      </c>
      <c r="P340" s="58"/>
      <c r="Q340" s="58"/>
      <c r="R340" s="58"/>
    </row>
    <row r="341" ht="120.0" customHeight="1">
      <c r="A341" s="40" t="s">
        <v>2240</v>
      </c>
      <c r="B341" s="41" t="s">
        <v>2241</v>
      </c>
      <c r="C341" s="42" t="s">
        <v>2242</v>
      </c>
      <c r="D341" s="51" t="s">
        <v>52</v>
      </c>
      <c r="E341" s="42" t="s">
        <v>2058</v>
      </c>
      <c r="F341" s="41" t="s">
        <v>2243</v>
      </c>
      <c r="G341" s="41" t="s">
        <v>2244</v>
      </c>
      <c r="H341" s="41" t="s">
        <v>2209</v>
      </c>
      <c r="I341" s="41" t="s">
        <v>2245</v>
      </c>
      <c r="J341" s="41" t="s">
        <v>2246</v>
      </c>
      <c r="K341" s="44" t="s">
        <v>84</v>
      </c>
      <c r="L341" s="42" t="s">
        <v>85</v>
      </c>
      <c r="M341" s="42" t="s">
        <v>2064</v>
      </c>
      <c r="N341" s="42" t="s">
        <v>2065</v>
      </c>
      <c r="O341" s="42" t="s">
        <v>86</v>
      </c>
      <c r="P341" s="58"/>
      <c r="Q341" s="58"/>
      <c r="R341" s="58"/>
    </row>
    <row r="342" ht="120.0" customHeight="1">
      <c r="A342" s="46" t="s">
        <v>2247</v>
      </c>
      <c r="B342" s="47" t="s">
        <v>2248</v>
      </c>
      <c r="C342" s="48" t="s">
        <v>2249</v>
      </c>
      <c r="D342" s="51" t="s">
        <v>52</v>
      </c>
      <c r="E342" s="48" t="s">
        <v>2250</v>
      </c>
      <c r="F342" s="47" t="s">
        <v>2251</v>
      </c>
      <c r="G342" s="47" t="s">
        <v>2252</v>
      </c>
      <c r="H342" s="47" t="s">
        <v>2253</v>
      </c>
      <c r="I342" s="47" t="s">
        <v>2254</v>
      </c>
      <c r="J342" s="47" t="s">
        <v>2255</v>
      </c>
      <c r="K342" s="44" t="s">
        <v>84</v>
      </c>
      <c r="L342" s="48" t="s">
        <v>155</v>
      </c>
      <c r="M342" s="48" t="s">
        <v>2064</v>
      </c>
      <c r="N342" s="48" t="s">
        <v>2065</v>
      </c>
      <c r="O342" s="48" t="s">
        <v>86</v>
      </c>
      <c r="P342" s="58"/>
      <c r="Q342" s="58"/>
      <c r="R342" s="58"/>
    </row>
    <row r="343" ht="120.0" customHeight="1">
      <c r="A343" s="40" t="s">
        <v>2256</v>
      </c>
      <c r="B343" s="41" t="s">
        <v>2257</v>
      </c>
      <c r="C343" s="42" t="s">
        <v>2234</v>
      </c>
      <c r="D343" s="51" t="s">
        <v>52</v>
      </c>
      <c r="E343" s="42" t="s">
        <v>2258</v>
      </c>
      <c r="F343" s="41" t="s">
        <v>2259</v>
      </c>
      <c r="G343" s="41" t="s">
        <v>2260</v>
      </c>
      <c r="H343" s="41" t="s">
        <v>2261</v>
      </c>
      <c r="I343" s="41" t="s">
        <v>2262</v>
      </c>
      <c r="J343" s="41" t="s">
        <v>2263</v>
      </c>
      <c r="K343" s="44" t="s">
        <v>84</v>
      </c>
      <c r="L343" s="42" t="s">
        <v>85</v>
      </c>
      <c r="M343" s="42" t="s">
        <v>2064</v>
      </c>
      <c r="N343" s="42" t="s">
        <v>2065</v>
      </c>
      <c r="O343" s="42" t="s">
        <v>86</v>
      </c>
      <c r="P343" s="58"/>
      <c r="Q343" s="58"/>
      <c r="R343" s="58"/>
    </row>
    <row r="344" ht="120.0" customHeight="1">
      <c r="A344" s="46" t="s">
        <v>2264</v>
      </c>
      <c r="B344" s="47" t="s">
        <v>2265</v>
      </c>
      <c r="C344" s="48" t="s">
        <v>2266</v>
      </c>
      <c r="D344" s="51" t="s">
        <v>52</v>
      </c>
      <c r="E344" s="48" t="s">
        <v>2058</v>
      </c>
      <c r="F344" s="47" t="s">
        <v>2243</v>
      </c>
      <c r="G344" s="47" t="s">
        <v>2267</v>
      </c>
      <c r="H344" s="47" t="s">
        <v>2209</v>
      </c>
      <c r="I344" s="47" t="s">
        <v>2268</v>
      </c>
      <c r="J344" s="47" t="s">
        <v>2269</v>
      </c>
      <c r="K344" s="44" t="s">
        <v>84</v>
      </c>
      <c r="L344" s="48" t="s">
        <v>85</v>
      </c>
      <c r="M344" s="48" t="s">
        <v>2064</v>
      </c>
      <c r="N344" s="48" t="s">
        <v>2065</v>
      </c>
      <c r="O344" s="48" t="s">
        <v>86</v>
      </c>
      <c r="P344" s="58"/>
      <c r="Q344" s="58"/>
      <c r="R344" s="58"/>
    </row>
    <row r="345" ht="120.0" customHeight="1">
      <c r="A345" s="40" t="s">
        <v>2270</v>
      </c>
      <c r="B345" s="41" t="s">
        <v>2271</v>
      </c>
      <c r="C345" s="42" t="s">
        <v>2272</v>
      </c>
      <c r="D345" s="51" t="s">
        <v>52</v>
      </c>
      <c r="E345" s="42" t="s">
        <v>2273</v>
      </c>
      <c r="F345" s="41" t="s">
        <v>2274</v>
      </c>
      <c r="G345" s="41" t="s">
        <v>2275</v>
      </c>
      <c r="H345" s="41" t="s">
        <v>2276</v>
      </c>
      <c r="I345" s="41" t="s">
        <v>2277</v>
      </c>
      <c r="J345" s="41" t="s">
        <v>2278</v>
      </c>
      <c r="K345" s="44" t="s">
        <v>84</v>
      </c>
      <c r="L345" s="42" t="s">
        <v>85</v>
      </c>
      <c r="M345" s="42" t="s">
        <v>2064</v>
      </c>
      <c r="N345" s="42" t="s">
        <v>2065</v>
      </c>
      <c r="O345" s="42" t="s">
        <v>86</v>
      </c>
      <c r="P345" s="58"/>
      <c r="Q345" s="58"/>
      <c r="R345" s="58"/>
    </row>
    <row r="346" ht="120.0" customHeight="1">
      <c r="A346" s="46" t="s">
        <v>2279</v>
      </c>
      <c r="B346" s="47" t="s">
        <v>2280</v>
      </c>
      <c r="C346" s="48" t="s">
        <v>2281</v>
      </c>
      <c r="D346" s="51" t="s">
        <v>52</v>
      </c>
      <c r="E346" s="48" t="s">
        <v>2273</v>
      </c>
      <c r="F346" s="47" t="s">
        <v>2282</v>
      </c>
      <c r="G346" s="47" t="s">
        <v>2283</v>
      </c>
      <c r="H346" s="47" t="s">
        <v>2284</v>
      </c>
      <c r="I346" s="47" t="s">
        <v>2285</v>
      </c>
      <c r="J346" s="47" t="s">
        <v>2286</v>
      </c>
      <c r="K346" s="44" t="s">
        <v>84</v>
      </c>
      <c r="L346" s="48" t="s">
        <v>155</v>
      </c>
      <c r="M346" s="48" t="s">
        <v>2064</v>
      </c>
      <c r="N346" s="48" t="s">
        <v>2065</v>
      </c>
      <c r="O346" s="48" t="s">
        <v>86</v>
      </c>
      <c r="P346" s="58"/>
      <c r="Q346" s="58"/>
      <c r="R346" s="58"/>
    </row>
    <row r="347" ht="120.0" customHeight="1">
      <c r="A347" s="40" t="s">
        <v>2287</v>
      </c>
      <c r="B347" s="41" t="s">
        <v>2288</v>
      </c>
      <c r="C347" s="42" t="s">
        <v>2289</v>
      </c>
      <c r="D347" s="51" t="s">
        <v>52</v>
      </c>
      <c r="E347" s="42" t="s">
        <v>2273</v>
      </c>
      <c r="F347" s="41" t="s">
        <v>2290</v>
      </c>
      <c r="G347" s="41" t="s">
        <v>2291</v>
      </c>
      <c r="H347" s="41" t="s">
        <v>2292</v>
      </c>
      <c r="I347" s="41" t="s">
        <v>2293</v>
      </c>
      <c r="J347" s="41" t="s">
        <v>2294</v>
      </c>
      <c r="K347" s="44" t="s">
        <v>84</v>
      </c>
      <c r="L347" s="42" t="s">
        <v>85</v>
      </c>
      <c r="M347" s="42" t="s">
        <v>2064</v>
      </c>
      <c r="N347" s="42" t="s">
        <v>2065</v>
      </c>
      <c r="O347" s="42" t="s">
        <v>86</v>
      </c>
      <c r="P347" s="58"/>
      <c r="Q347" s="58"/>
      <c r="R347" s="58"/>
    </row>
    <row r="348" ht="120.0" customHeight="1">
      <c r="A348" s="46" t="s">
        <v>2295</v>
      </c>
      <c r="B348" s="47" t="s">
        <v>2296</v>
      </c>
      <c r="C348" s="48" t="s">
        <v>2297</v>
      </c>
      <c r="D348" s="51" t="s">
        <v>52</v>
      </c>
      <c r="E348" s="48" t="s">
        <v>2250</v>
      </c>
      <c r="F348" s="47" t="s">
        <v>2243</v>
      </c>
      <c r="G348" s="47" t="s">
        <v>2298</v>
      </c>
      <c r="H348" s="47" t="s">
        <v>2299</v>
      </c>
      <c r="I348" s="47" t="s">
        <v>2300</v>
      </c>
      <c r="J348" s="47" t="s">
        <v>2301</v>
      </c>
      <c r="K348" s="44" t="s">
        <v>84</v>
      </c>
      <c r="L348" s="48" t="s">
        <v>85</v>
      </c>
      <c r="M348" s="48" t="s">
        <v>2064</v>
      </c>
      <c r="N348" s="48" t="s">
        <v>2065</v>
      </c>
      <c r="O348" s="48" t="s">
        <v>86</v>
      </c>
      <c r="P348" s="58"/>
      <c r="Q348" s="58"/>
      <c r="R348" s="58"/>
    </row>
    <row r="349" ht="120.0" customHeight="1">
      <c r="A349" s="40" t="s">
        <v>2302</v>
      </c>
      <c r="B349" s="41" t="s">
        <v>2303</v>
      </c>
      <c r="C349" s="42" t="s">
        <v>2304</v>
      </c>
      <c r="D349" s="51" t="s">
        <v>52</v>
      </c>
      <c r="E349" s="42" t="s">
        <v>2058</v>
      </c>
      <c r="F349" s="41" t="s">
        <v>2305</v>
      </c>
      <c r="G349" s="41" t="s">
        <v>2306</v>
      </c>
      <c r="H349" s="41" t="s">
        <v>2209</v>
      </c>
      <c r="I349" s="41" t="s">
        <v>2307</v>
      </c>
      <c r="J349" s="41" t="s">
        <v>2308</v>
      </c>
      <c r="K349" s="49" t="s">
        <v>96</v>
      </c>
      <c r="L349" s="42" t="s">
        <v>85</v>
      </c>
      <c r="M349" s="42" t="s">
        <v>2064</v>
      </c>
      <c r="N349" s="42" t="s">
        <v>2065</v>
      </c>
      <c r="O349" s="42" t="s">
        <v>2309</v>
      </c>
      <c r="P349" s="58"/>
      <c r="Q349" s="58"/>
      <c r="R349" s="58"/>
    </row>
    <row r="350" ht="120.0" customHeight="1">
      <c r="A350" s="46" t="s">
        <v>2310</v>
      </c>
      <c r="B350" s="47" t="s">
        <v>2311</v>
      </c>
      <c r="C350" s="48" t="s">
        <v>2312</v>
      </c>
      <c r="D350" s="51" t="s">
        <v>52</v>
      </c>
      <c r="E350" s="48" t="s">
        <v>2058</v>
      </c>
      <c r="F350" s="47" t="s">
        <v>2313</v>
      </c>
      <c r="G350" s="47" t="s">
        <v>2314</v>
      </c>
      <c r="H350" s="47" t="s">
        <v>2315</v>
      </c>
      <c r="I350" s="47" t="s">
        <v>2316</v>
      </c>
      <c r="J350" s="47" t="s">
        <v>2317</v>
      </c>
      <c r="K350" s="44" t="s">
        <v>84</v>
      </c>
      <c r="L350" s="48" t="s">
        <v>85</v>
      </c>
      <c r="M350" s="48" t="s">
        <v>2064</v>
      </c>
      <c r="N350" s="48" t="s">
        <v>2065</v>
      </c>
      <c r="O350" s="48" t="s">
        <v>86</v>
      </c>
      <c r="P350" s="58"/>
      <c r="Q350" s="58"/>
      <c r="R350" s="58"/>
    </row>
    <row r="351" ht="120.0" customHeight="1">
      <c r="A351" s="40" t="s">
        <v>2318</v>
      </c>
      <c r="B351" s="41" t="s">
        <v>2319</v>
      </c>
      <c r="C351" s="42" t="s">
        <v>2320</v>
      </c>
      <c r="D351" s="51" t="s">
        <v>52</v>
      </c>
      <c r="E351" s="42" t="s">
        <v>2321</v>
      </c>
      <c r="F351" s="41" t="s">
        <v>2322</v>
      </c>
      <c r="G351" s="41" t="s">
        <v>2323</v>
      </c>
      <c r="H351" s="41" t="s">
        <v>2324</v>
      </c>
      <c r="I351" s="41" t="s">
        <v>2325</v>
      </c>
      <c r="J351" s="41" t="s">
        <v>2326</v>
      </c>
      <c r="K351" s="44" t="s">
        <v>84</v>
      </c>
      <c r="L351" s="42" t="s">
        <v>85</v>
      </c>
      <c r="M351" s="42" t="s">
        <v>2064</v>
      </c>
      <c r="N351" s="42" t="s">
        <v>2065</v>
      </c>
      <c r="O351" s="42" t="s">
        <v>86</v>
      </c>
      <c r="P351" s="58"/>
      <c r="Q351" s="58"/>
      <c r="R351" s="58"/>
    </row>
    <row r="352" ht="120.0" customHeight="1">
      <c r="A352" s="46" t="s">
        <v>2327</v>
      </c>
      <c r="B352" s="47" t="s">
        <v>2328</v>
      </c>
      <c r="C352" s="48" t="s">
        <v>2272</v>
      </c>
      <c r="D352" s="51" t="s">
        <v>52</v>
      </c>
      <c r="E352" s="48" t="s">
        <v>2329</v>
      </c>
      <c r="F352" s="47" t="s">
        <v>2330</v>
      </c>
      <c r="G352" s="47" t="s">
        <v>2331</v>
      </c>
      <c r="H352" s="47" t="s">
        <v>2332</v>
      </c>
      <c r="I352" s="47" t="s">
        <v>2333</v>
      </c>
      <c r="J352" s="47" t="s">
        <v>2334</v>
      </c>
      <c r="K352" s="44" t="s">
        <v>84</v>
      </c>
      <c r="L352" s="48" t="s">
        <v>85</v>
      </c>
      <c r="M352" s="48" t="s">
        <v>2064</v>
      </c>
      <c r="N352" s="48" t="s">
        <v>2065</v>
      </c>
      <c r="O352" s="48" t="s">
        <v>86</v>
      </c>
      <c r="P352" s="58"/>
      <c r="Q352" s="58"/>
      <c r="R352" s="58"/>
    </row>
    <row r="353" ht="120.0" customHeight="1">
      <c r="A353" s="40" t="s">
        <v>2335</v>
      </c>
      <c r="B353" s="41" t="s">
        <v>2336</v>
      </c>
      <c r="C353" s="42" t="s">
        <v>2337</v>
      </c>
      <c r="D353" s="51" t="s">
        <v>52</v>
      </c>
      <c r="E353" s="42" t="s">
        <v>2338</v>
      </c>
      <c r="F353" s="41" t="s">
        <v>2339</v>
      </c>
      <c r="G353" s="41" t="s">
        <v>2340</v>
      </c>
      <c r="H353" s="41" t="s">
        <v>2341</v>
      </c>
      <c r="I353" s="41" t="s">
        <v>2342</v>
      </c>
      <c r="J353" s="41" t="s">
        <v>2343</v>
      </c>
      <c r="K353" s="49" t="s">
        <v>96</v>
      </c>
      <c r="L353" s="42" t="s">
        <v>155</v>
      </c>
      <c r="M353" s="42" t="s">
        <v>2064</v>
      </c>
      <c r="N353" s="42" t="s">
        <v>2065</v>
      </c>
      <c r="O353" s="42" t="s">
        <v>2344</v>
      </c>
      <c r="P353" s="58"/>
      <c r="Q353" s="58"/>
      <c r="R353" s="58"/>
    </row>
    <row r="354" ht="120.0" customHeight="1">
      <c r="A354" s="46" t="s">
        <v>2345</v>
      </c>
      <c r="B354" s="47" t="s">
        <v>2346</v>
      </c>
      <c r="C354" s="48" t="s">
        <v>2076</v>
      </c>
      <c r="D354" s="53" t="s">
        <v>55</v>
      </c>
      <c r="E354" s="48" t="s">
        <v>2082</v>
      </c>
      <c r="F354" s="47" t="s">
        <v>2347</v>
      </c>
      <c r="G354" s="47" t="s">
        <v>2348</v>
      </c>
      <c r="H354" s="47" t="s">
        <v>2349</v>
      </c>
      <c r="I354" s="47" t="s">
        <v>2350</v>
      </c>
      <c r="J354" s="47" t="s">
        <v>2351</v>
      </c>
      <c r="K354" s="44" t="s">
        <v>84</v>
      </c>
      <c r="L354" s="48" t="s">
        <v>155</v>
      </c>
      <c r="M354" s="48" t="s">
        <v>2064</v>
      </c>
      <c r="N354" s="48" t="s">
        <v>2065</v>
      </c>
      <c r="O354" s="48" t="s">
        <v>86</v>
      </c>
      <c r="P354" s="58"/>
      <c r="Q354" s="58"/>
      <c r="R354" s="58"/>
    </row>
    <row r="355" ht="120.0" customHeight="1">
      <c r="A355" s="40" t="s">
        <v>2352</v>
      </c>
      <c r="B355" s="41" t="s">
        <v>2353</v>
      </c>
      <c r="C355" s="42" t="s">
        <v>2076</v>
      </c>
      <c r="D355" s="53" t="s">
        <v>55</v>
      </c>
      <c r="E355" s="42" t="s">
        <v>2354</v>
      </c>
      <c r="F355" s="41" t="s">
        <v>2355</v>
      </c>
      <c r="G355" s="41" t="s">
        <v>2356</v>
      </c>
      <c r="H355" s="41" t="s">
        <v>2357</v>
      </c>
      <c r="I355" s="41" t="s">
        <v>2358</v>
      </c>
      <c r="J355" s="41" t="s">
        <v>2359</v>
      </c>
      <c r="K355" s="49" t="s">
        <v>96</v>
      </c>
      <c r="L355" s="42" t="s">
        <v>155</v>
      </c>
      <c r="M355" s="42" t="s">
        <v>2064</v>
      </c>
      <c r="N355" s="42" t="s">
        <v>2065</v>
      </c>
      <c r="O355" s="42" t="s">
        <v>2360</v>
      </c>
    </row>
    <row r="356" ht="120.0" customHeight="1">
      <c r="A356" s="46" t="s">
        <v>2361</v>
      </c>
      <c r="B356" s="47" t="s">
        <v>2362</v>
      </c>
      <c r="C356" s="48" t="s">
        <v>2155</v>
      </c>
      <c r="D356" s="53" t="s">
        <v>55</v>
      </c>
      <c r="E356" s="48" t="s">
        <v>2207</v>
      </c>
      <c r="F356" s="47" t="s">
        <v>2157</v>
      </c>
      <c r="G356" s="47" t="s">
        <v>2363</v>
      </c>
      <c r="H356" s="47" t="s">
        <v>2364</v>
      </c>
      <c r="I356" s="47" t="s">
        <v>2365</v>
      </c>
      <c r="J356" s="47" t="s">
        <v>2366</v>
      </c>
      <c r="K356" s="44" t="s">
        <v>84</v>
      </c>
      <c r="L356" s="48" t="s">
        <v>538</v>
      </c>
      <c r="M356" s="48" t="s">
        <v>2064</v>
      </c>
      <c r="N356" s="48" t="s">
        <v>2065</v>
      </c>
      <c r="O356" s="48" t="s">
        <v>86</v>
      </c>
    </row>
    <row r="357" ht="120.0" customHeight="1">
      <c r="A357" s="40" t="s">
        <v>2367</v>
      </c>
      <c r="B357" s="41" t="s">
        <v>2368</v>
      </c>
      <c r="C357" s="42" t="s">
        <v>2214</v>
      </c>
      <c r="D357" s="53" t="s">
        <v>55</v>
      </c>
      <c r="E357" s="42" t="s">
        <v>2207</v>
      </c>
      <c r="F357" s="41" t="s">
        <v>2069</v>
      </c>
      <c r="G357" s="41" t="s">
        <v>2369</v>
      </c>
      <c r="H357" s="41" t="s">
        <v>2370</v>
      </c>
      <c r="I357" s="41" t="s">
        <v>2371</v>
      </c>
      <c r="J357" s="41" t="s">
        <v>2372</v>
      </c>
      <c r="K357" s="44" t="s">
        <v>84</v>
      </c>
      <c r="L357" s="42" t="s">
        <v>155</v>
      </c>
      <c r="M357" s="42" t="s">
        <v>2064</v>
      </c>
      <c r="N357" s="42" t="s">
        <v>2065</v>
      </c>
      <c r="O357" s="42" t="s">
        <v>86</v>
      </c>
    </row>
    <row r="358" ht="120.0" customHeight="1">
      <c r="A358" s="46" t="s">
        <v>2373</v>
      </c>
      <c r="B358" s="47" t="s">
        <v>2374</v>
      </c>
      <c r="C358" s="48" t="s">
        <v>2375</v>
      </c>
      <c r="D358" s="53" t="s">
        <v>55</v>
      </c>
      <c r="E358" s="48" t="s">
        <v>2207</v>
      </c>
      <c r="F358" s="47" t="s">
        <v>2376</v>
      </c>
      <c r="G358" s="47" t="s">
        <v>2377</v>
      </c>
      <c r="H358" s="47" t="s">
        <v>2324</v>
      </c>
      <c r="I358" s="47" t="s">
        <v>2378</v>
      </c>
      <c r="J358" s="47" t="s">
        <v>2379</v>
      </c>
      <c r="K358" s="44" t="s">
        <v>84</v>
      </c>
      <c r="L358" s="48" t="s">
        <v>155</v>
      </c>
      <c r="M358" s="48" t="s">
        <v>2064</v>
      </c>
      <c r="N358" s="48" t="s">
        <v>2065</v>
      </c>
      <c r="O358" s="48" t="s">
        <v>86</v>
      </c>
    </row>
    <row r="359" ht="120.0" customHeight="1">
      <c r="A359" s="40" t="s">
        <v>2380</v>
      </c>
      <c r="B359" s="41" t="s">
        <v>2381</v>
      </c>
      <c r="C359" s="42" t="s">
        <v>2382</v>
      </c>
      <c r="D359" s="53" t="s">
        <v>55</v>
      </c>
      <c r="E359" s="42" t="s">
        <v>2207</v>
      </c>
      <c r="F359" s="41" t="s">
        <v>2383</v>
      </c>
      <c r="G359" s="41" t="s">
        <v>2384</v>
      </c>
      <c r="H359" s="41" t="s">
        <v>2385</v>
      </c>
      <c r="I359" s="41" t="s">
        <v>2386</v>
      </c>
      <c r="J359" s="41" t="s">
        <v>2387</v>
      </c>
      <c r="K359" s="44" t="s">
        <v>84</v>
      </c>
      <c r="L359" s="42" t="s">
        <v>85</v>
      </c>
      <c r="M359" s="42" t="s">
        <v>2064</v>
      </c>
      <c r="N359" s="42" t="s">
        <v>2065</v>
      </c>
      <c r="O359" s="42" t="s">
        <v>86</v>
      </c>
    </row>
    <row r="360" ht="120.0" customHeight="1">
      <c r="A360" s="46" t="s">
        <v>2388</v>
      </c>
      <c r="B360" s="47" t="s">
        <v>2389</v>
      </c>
      <c r="C360" s="48" t="s">
        <v>2390</v>
      </c>
      <c r="D360" s="55" t="s">
        <v>58</v>
      </c>
      <c r="E360" s="48" t="s">
        <v>2391</v>
      </c>
      <c r="F360" s="47" t="s">
        <v>2392</v>
      </c>
      <c r="G360" s="47" t="s">
        <v>2393</v>
      </c>
      <c r="H360" s="47" t="s">
        <v>1270</v>
      </c>
      <c r="I360" s="47" t="s">
        <v>2394</v>
      </c>
      <c r="J360" s="47" t="s">
        <v>2395</v>
      </c>
      <c r="K360" s="44" t="s">
        <v>84</v>
      </c>
      <c r="L360" s="48" t="s">
        <v>155</v>
      </c>
      <c r="M360" s="48" t="s">
        <v>2064</v>
      </c>
      <c r="N360" s="48" t="s">
        <v>2065</v>
      </c>
      <c r="O360" s="48" t="s">
        <v>86</v>
      </c>
    </row>
    <row r="361" ht="14.25" customHeight="1">
      <c r="A361" s="59"/>
      <c r="B361" s="60"/>
      <c r="C361" s="60"/>
      <c r="D361" s="59"/>
      <c r="E361" s="59"/>
      <c r="F361" s="60"/>
      <c r="G361" s="60"/>
      <c r="H361" s="60"/>
      <c r="I361" s="60"/>
      <c r="J361" s="60"/>
      <c r="K361" s="59"/>
      <c r="L361" s="59"/>
      <c r="M361" s="61"/>
      <c r="N361" s="59"/>
      <c r="O361" s="59"/>
    </row>
    <row r="362" ht="14.25" customHeight="1">
      <c r="A362" s="59"/>
      <c r="B362" s="60"/>
      <c r="C362" s="60"/>
      <c r="D362" s="59"/>
      <c r="E362" s="59"/>
      <c r="F362" s="60"/>
      <c r="G362" s="60"/>
      <c r="H362" s="60"/>
      <c r="I362" s="60"/>
      <c r="J362" s="60"/>
      <c r="K362" s="59"/>
      <c r="L362" s="59"/>
      <c r="M362" s="61"/>
      <c r="N362" s="59"/>
      <c r="O362" s="59"/>
    </row>
    <row r="363" ht="14.25" customHeight="1">
      <c r="A363" s="59"/>
      <c r="B363" s="60"/>
      <c r="C363" s="60"/>
      <c r="D363" s="59"/>
      <c r="E363" s="59"/>
      <c r="F363" s="60"/>
      <c r="G363" s="60"/>
      <c r="H363" s="60"/>
      <c r="I363" s="60"/>
      <c r="J363" s="60"/>
      <c r="K363" s="59"/>
      <c r="L363" s="59"/>
      <c r="M363" s="61"/>
      <c r="N363" s="59"/>
      <c r="O363" s="59"/>
    </row>
    <row r="364" ht="14.25" customHeight="1">
      <c r="A364" s="59"/>
      <c r="B364" s="60"/>
      <c r="C364" s="60"/>
      <c r="D364" s="59"/>
      <c r="E364" s="59"/>
      <c r="F364" s="60"/>
      <c r="G364" s="60"/>
      <c r="H364" s="60"/>
      <c r="I364" s="60"/>
      <c r="J364" s="60"/>
      <c r="K364" s="59"/>
      <c r="L364" s="59"/>
      <c r="M364" s="61"/>
      <c r="N364" s="59"/>
      <c r="O364" s="59"/>
    </row>
    <row r="365" ht="14.25" customHeight="1">
      <c r="A365" s="59"/>
      <c r="B365" s="60"/>
      <c r="C365" s="60"/>
      <c r="D365" s="59"/>
      <c r="E365" s="59"/>
      <c r="F365" s="60"/>
      <c r="G365" s="60"/>
      <c r="H365" s="60"/>
      <c r="I365" s="60"/>
      <c r="J365" s="60"/>
      <c r="K365" s="59"/>
      <c r="L365" s="59"/>
      <c r="M365" s="61"/>
      <c r="N365" s="59"/>
      <c r="O365" s="59"/>
    </row>
    <row r="366" ht="14.25" customHeight="1">
      <c r="A366" s="59"/>
      <c r="B366" s="60"/>
      <c r="C366" s="60"/>
      <c r="D366" s="59"/>
      <c r="E366" s="59"/>
      <c r="F366" s="60"/>
      <c r="G366" s="60"/>
      <c r="H366" s="60"/>
      <c r="I366" s="60"/>
      <c r="J366" s="60"/>
      <c r="K366" s="59"/>
      <c r="L366" s="59"/>
      <c r="M366" s="61"/>
      <c r="N366" s="59"/>
      <c r="O366" s="59"/>
    </row>
    <row r="367" ht="14.25" customHeight="1">
      <c r="A367" s="59"/>
      <c r="B367" s="60"/>
      <c r="C367" s="60"/>
      <c r="D367" s="59"/>
      <c r="E367" s="59"/>
      <c r="F367" s="60"/>
      <c r="G367" s="60"/>
      <c r="H367" s="60"/>
      <c r="I367" s="60"/>
      <c r="J367" s="60"/>
      <c r="K367" s="59"/>
      <c r="L367" s="59"/>
      <c r="M367" s="61"/>
      <c r="N367" s="59"/>
      <c r="O367" s="59"/>
    </row>
    <row r="368" ht="14.25" customHeight="1">
      <c r="A368" s="59"/>
      <c r="B368" s="60"/>
      <c r="C368" s="60"/>
      <c r="D368" s="59"/>
      <c r="E368" s="59"/>
      <c r="F368" s="60"/>
      <c r="G368" s="60"/>
      <c r="H368" s="60"/>
      <c r="I368" s="60"/>
      <c r="J368" s="60"/>
      <c r="K368" s="59"/>
      <c r="L368" s="59"/>
      <c r="M368" s="61"/>
      <c r="N368" s="59"/>
      <c r="O368" s="59"/>
    </row>
    <row r="369" ht="14.25" customHeight="1">
      <c r="A369" s="59"/>
      <c r="B369" s="60"/>
      <c r="C369" s="60"/>
      <c r="D369" s="59"/>
      <c r="E369" s="59"/>
      <c r="F369" s="60"/>
      <c r="G369" s="60"/>
      <c r="H369" s="60"/>
      <c r="I369" s="60"/>
      <c r="J369" s="60"/>
      <c r="K369" s="59"/>
      <c r="L369" s="59"/>
      <c r="M369" s="61"/>
      <c r="N369" s="59"/>
      <c r="O369" s="59"/>
    </row>
    <row r="370" ht="14.25" customHeight="1">
      <c r="A370" s="59"/>
      <c r="B370" s="60"/>
      <c r="C370" s="60"/>
      <c r="D370" s="59"/>
      <c r="E370" s="59"/>
      <c r="F370" s="60"/>
      <c r="G370" s="60"/>
      <c r="H370" s="60"/>
      <c r="I370" s="60"/>
      <c r="J370" s="60"/>
      <c r="K370" s="59"/>
      <c r="L370" s="59"/>
      <c r="M370" s="61"/>
      <c r="N370" s="59"/>
      <c r="O370" s="59"/>
    </row>
    <row r="371" ht="14.25" customHeight="1">
      <c r="A371" s="59"/>
      <c r="B371" s="60"/>
      <c r="C371" s="60"/>
      <c r="D371" s="59"/>
      <c r="E371" s="59"/>
      <c r="F371" s="60"/>
      <c r="G371" s="60"/>
      <c r="H371" s="60"/>
      <c r="I371" s="60"/>
      <c r="J371" s="60"/>
      <c r="K371" s="59"/>
      <c r="L371" s="59"/>
      <c r="M371" s="61"/>
      <c r="N371" s="59"/>
      <c r="O371" s="59"/>
    </row>
    <row r="372" ht="14.25" customHeight="1">
      <c r="A372" s="59"/>
      <c r="B372" s="60"/>
      <c r="C372" s="60"/>
      <c r="D372" s="59"/>
      <c r="E372" s="59"/>
      <c r="F372" s="60"/>
      <c r="G372" s="60"/>
      <c r="H372" s="60"/>
      <c r="I372" s="60"/>
      <c r="J372" s="60"/>
      <c r="K372" s="59"/>
      <c r="L372" s="59"/>
      <c r="M372" s="61"/>
      <c r="N372" s="59"/>
      <c r="O372" s="59"/>
    </row>
    <row r="373" ht="14.25" customHeight="1">
      <c r="A373" s="59"/>
      <c r="B373" s="60"/>
      <c r="C373" s="60"/>
      <c r="D373" s="59"/>
      <c r="E373" s="59"/>
      <c r="F373" s="60"/>
      <c r="G373" s="60"/>
      <c r="H373" s="60"/>
      <c r="I373" s="60"/>
      <c r="J373" s="60"/>
      <c r="K373" s="59"/>
      <c r="L373" s="59"/>
      <c r="M373" s="61"/>
      <c r="N373" s="59"/>
      <c r="O373" s="59"/>
    </row>
    <row r="374" ht="14.25" customHeight="1">
      <c r="A374" s="59"/>
      <c r="B374" s="60"/>
      <c r="C374" s="60"/>
      <c r="D374" s="59"/>
      <c r="E374" s="59"/>
      <c r="F374" s="60"/>
      <c r="G374" s="60"/>
      <c r="H374" s="60"/>
      <c r="I374" s="60"/>
      <c r="J374" s="60"/>
      <c r="K374" s="59"/>
      <c r="L374" s="59"/>
      <c r="M374" s="61"/>
      <c r="N374" s="59"/>
      <c r="O374" s="59"/>
    </row>
    <row r="375" ht="14.25" customHeight="1">
      <c r="A375" s="59"/>
      <c r="B375" s="60"/>
      <c r="C375" s="60"/>
      <c r="D375" s="59"/>
      <c r="E375" s="59"/>
      <c r="F375" s="60"/>
      <c r="G375" s="60"/>
      <c r="H375" s="60"/>
      <c r="I375" s="60"/>
      <c r="J375" s="60"/>
      <c r="K375" s="59"/>
      <c r="L375" s="59"/>
      <c r="M375" s="61"/>
      <c r="N375" s="59"/>
      <c r="O375" s="59"/>
    </row>
    <row r="376" ht="14.25" customHeight="1">
      <c r="A376" s="59"/>
      <c r="B376" s="60"/>
      <c r="C376" s="60"/>
      <c r="D376" s="59"/>
      <c r="E376" s="59"/>
      <c r="F376" s="60"/>
      <c r="G376" s="60"/>
      <c r="H376" s="60"/>
      <c r="I376" s="60"/>
      <c r="J376" s="60"/>
      <c r="K376" s="59"/>
      <c r="L376" s="59"/>
      <c r="M376" s="61"/>
      <c r="N376" s="59"/>
      <c r="O376" s="59"/>
    </row>
    <row r="377" ht="14.25" customHeight="1">
      <c r="A377" s="59"/>
      <c r="B377" s="60"/>
      <c r="C377" s="60"/>
      <c r="D377" s="59"/>
      <c r="E377" s="59"/>
      <c r="F377" s="60"/>
      <c r="G377" s="60"/>
      <c r="H377" s="60"/>
      <c r="I377" s="60"/>
      <c r="J377" s="60"/>
      <c r="K377" s="59"/>
      <c r="L377" s="59"/>
      <c r="M377" s="61"/>
      <c r="N377" s="59"/>
      <c r="O377" s="59"/>
    </row>
    <row r="378" ht="14.25" customHeight="1">
      <c r="A378" s="59"/>
      <c r="B378" s="60"/>
      <c r="C378" s="60"/>
      <c r="D378" s="59"/>
      <c r="E378" s="59"/>
      <c r="F378" s="60"/>
      <c r="G378" s="60"/>
      <c r="H378" s="60"/>
      <c r="I378" s="60"/>
      <c r="J378" s="60"/>
      <c r="K378" s="59"/>
      <c r="L378" s="59"/>
      <c r="M378" s="61"/>
      <c r="N378" s="59"/>
      <c r="O378" s="59"/>
    </row>
    <row r="379" ht="14.25" customHeight="1">
      <c r="A379" s="59"/>
      <c r="B379" s="60"/>
      <c r="C379" s="60"/>
      <c r="D379" s="59"/>
      <c r="E379" s="59"/>
      <c r="F379" s="60"/>
      <c r="G379" s="60"/>
      <c r="H379" s="60"/>
      <c r="I379" s="60"/>
      <c r="J379" s="60"/>
      <c r="K379" s="59"/>
      <c r="L379" s="59"/>
      <c r="M379" s="61"/>
      <c r="N379" s="59"/>
      <c r="O379" s="59"/>
    </row>
    <row r="380" ht="14.25" customHeight="1">
      <c r="A380" s="59"/>
      <c r="B380" s="60"/>
      <c r="C380" s="60"/>
      <c r="D380" s="59"/>
      <c r="E380" s="59"/>
      <c r="F380" s="60"/>
      <c r="G380" s="60"/>
      <c r="H380" s="60"/>
      <c r="I380" s="60"/>
      <c r="J380" s="60"/>
      <c r="K380" s="59"/>
      <c r="L380" s="59"/>
      <c r="M380" s="61"/>
      <c r="N380" s="59"/>
      <c r="O380" s="59"/>
    </row>
    <row r="381" ht="14.25" customHeight="1">
      <c r="A381" s="59"/>
      <c r="B381" s="60"/>
      <c r="C381" s="60"/>
      <c r="D381" s="59"/>
      <c r="E381" s="59"/>
      <c r="F381" s="60"/>
      <c r="G381" s="60"/>
      <c r="H381" s="60"/>
      <c r="I381" s="60"/>
      <c r="J381" s="60"/>
      <c r="K381" s="59"/>
      <c r="L381" s="59"/>
      <c r="M381" s="61"/>
      <c r="N381" s="59"/>
      <c r="O381" s="59"/>
    </row>
    <row r="382" ht="14.25" customHeight="1">
      <c r="A382" s="59"/>
      <c r="B382" s="60"/>
      <c r="C382" s="60"/>
      <c r="D382" s="59"/>
      <c r="E382" s="59"/>
      <c r="F382" s="60"/>
      <c r="G382" s="60"/>
      <c r="H382" s="60"/>
      <c r="I382" s="60"/>
      <c r="J382" s="60"/>
      <c r="K382" s="59"/>
      <c r="L382" s="59"/>
      <c r="M382" s="61"/>
      <c r="N382" s="59"/>
      <c r="O382" s="59"/>
    </row>
    <row r="383" ht="14.25" customHeight="1">
      <c r="A383" s="59"/>
      <c r="B383" s="60"/>
      <c r="C383" s="60"/>
      <c r="D383" s="59"/>
      <c r="E383" s="59"/>
      <c r="F383" s="60"/>
      <c r="G383" s="60"/>
      <c r="H383" s="60"/>
      <c r="I383" s="60"/>
      <c r="J383" s="60"/>
      <c r="K383" s="59"/>
      <c r="L383" s="59"/>
      <c r="M383" s="61"/>
      <c r="N383" s="59"/>
      <c r="O383" s="59"/>
    </row>
    <row r="384" ht="14.25" customHeight="1">
      <c r="A384" s="59"/>
      <c r="B384" s="60"/>
      <c r="C384" s="60"/>
      <c r="D384" s="59"/>
      <c r="E384" s="59"/>
      <c r="F384" s="60"/>
      <c r="G384" s="60"/>
      <c r="H384" s="60"/>
      <c r="I384" s="60"/>
      <c r="J384" s="60"/>
      <c r="K384" s="59"/>
      <c r="L384" s="59"/>
      <c r="M384" s="61"/>
      <c r="N384" s="59"/>
      <c r="O384" s="59"/>
    </row>
    <row r="385" ht="14.25" customHeight="1">
      <c r="A385" s="59"/>
      <c r="B385" s="60"/>
      <c r="C385" s="60"/>
      <c r="D385" s="59"/>
      <c r="E385" s="59"/>
      <c r="F385" s="60"/>
      <c r="G385" s="60"/>
      <c r="H385" s="60"/>
      <c r="I385" s="60"/>
      <c r="J385" s="60"/>
      <c r="K385" s="59"/>
      <c r="L385" s="59"/>
      <c r="M385" s="61"/>
      <c r="N385" s="59"/>
      <c r="O385" s="59"/>
    </row>
    <row r="386" ht="14.25" customHeight="1">
      <c r="A386" s="59"/>
      <c r="B386" s="60"/>
      <c r="C386" s="60"/>
      <c r="D386" s="59"/>
      <c r="E386" s="59"/>
      <c r="F386" s="60"/>
      <c r="G386" s="60"/>
      <c r="H386" s="60"/>
      <c r="I386" s="60"/>
      <c r="J386" s="60"/>
      <c r="K386" s="59"/>
      <c r="L386" s="59"/>
      <c r="M386" s="61"/>
      <c r="N386" s="59"/>
      <c r="O386" s="59"/>
    </row>
    <row r="387" ht="14.25" customHeight="1">
      <c r="A387" s="59"/>
      <c r="B387" s="60"/>
      <c r="C387" s="60"/>
      <c r="D387" s="59"/>
      <c r="E387" s="59"/>
      <c r="F387" s="60"/>
      <c r="G387" s="60"/>
      <c r="H387" s="60"/>
      <c r="I387" s="60"/>
      <c r="J387" s="60"/>
      <c r="K387" s="59"/>
      <c r="L387" s="59"/>
      <c r="M387" s="61"/>
      <c r="N387" s="59"/>
      <c r="O387" s="59"/>
    </row>
    <row r="388" ht="14.25" customHeight="1">
      <c r="A388" s="59"/>
      <c r="B388" s="60"/>
      <c r="C388" s="60"/>
      <c r="D388" s="59"/>
      <c r="E388" s="59"/>
      <c r="F388" s="60"/>
      <c r="G388" s="60"/>
      <c r="H388" s="60"/>
      <c r="I388" s="60"/>
      <c r="J388" s="60"/>
      <c r="K388" s="59"/>
      <c r="L388" s="59"/>
      <c r="M388" s="61"/>
      <c r="N388" s="59"/>
      <c r="O388" s="59"/>
    </row>
    <row r="389" ht="14.25" customHeight="1">
      <c r="A389" s="59"/>
      <c r="B389" s="60"/>
      <c r="C389" s="60"/>
      <c r="D389" s="59"/>
      <c r="E389" s="59"/>
      <c r="F389" s="60"/>
      <c r="G389" s="60"/>
      <c r="H389" s="60"/>
      <c r="I389" s="60"/>
      <c r="J389" s="60"/>
      <c r="K389" s="59"/>
      <c r="L389" s="59"/>
      <c r="M389" s="61"/>
      <c r="N389" s="59"/>
      <c r="O389" s="59"/>
    </row>
    <row r="390" ht="14.25" customHeight="1">
      <c r="A390" s="59"/>
      <c r="B390" s="60"/>
      <c r="C390" s="60"/>
      <c r="D390" s="59"/>
      <c r="E390" s="59"/>
      <c r="F390" s="60"/>
      <c r="G390" s="60"/>
      <c r="H390" s="60"/>
      <c r="I390" s="60"/>
      <c r="J390" s="60"/>
      <c r="K390" s="59"/>
      <c r="L390" s="59"/>
      <c r="M390" s="61"/>
      <c r="N390" s="59"/>
      <c r="O390" s="59"/>
    </row>
    <row r="391" ht="14.25" customHeight="1">
      <c r="A391" s="59"/>
      <c r="B391" s="60"/>
      <c r="C391" s="60"/>
      <c r="D391" s="59"/>
      <c r="E391" s="59"/>
      <c r="F391" s="60"/>
      <c r="G391" s="60"/>
      <c r="H391" s="60"/>
      <c r="I391" s="60"/>
      <c r="J391" s="60"/>
      <c r="K391" s="59"/>
      <c r="L391" s="59"/>
      <c r="M391" s="61"/>
      <c r="N391" s="59"/>
      <c r="O391" s="59"/>
    </row>
    <row r="392" ht="14.25" customHeight="1">
      <c r="A392" s="59"/>
      <c r="B392" s="60"/>
      <c r="C392" s="60"/>
      <c r="D392" s="59"/>
      <c r="E392" s="59"/>
      <c r="F392" s="60"/>
      <c r="G392" s="60"/>
      <c r="H392" s="60"/>
      <c r="I392" s="60"/>
      <c r="J392" s="60"/>
      <c r="K392" s="59"/>
      <c r="L392" s="59"/>
      <c r="M392" s="61"/>
      <c r="N392" s="59"/>
      <c r="O392" s="59"/>
    </row>
    <row r="393" ht="14.25" customHeight="1">
      <c r="A393" s="59"/>
      <c r="B393" s="60"/>
      <c r="C393" s="60"/>
      <c r="D393" s="59"/>
      <c r="E393" s="59"/>
      <c r="F393" s="60"/>
      <c r="G393" s="60"/>
      <c r="H393" s="60"/>
      <c r="I393" s="60"/>
      <c r="J393" s="60"/>
      <c r="K393" s="59"/>
      <c r="L393" s="59"/>
      <c r="M393" s="61"/>
      <c r="N393" s="59"/>
      <c r="O393" s="59"/>
    </row>
    <row r="394" ht="14.25" customHeight="1">
      <c r="A394" s="59"/>
      <c r="B394" s="60"/>
      <c r="C394" s="60"/>
      <c r="D394" s="59"/>
      <c r="E394" s="59"/>
      <c r="F394" s="60"/>
      <c r="G394" s="60"/>
      <c r="H394" s="60"/>
      <c r="I394" s="60"/>
      <c r="J394" s="60"/>
      <c r="K394" s="59"/>
      <c r="L394" s="59"/>
      <c r="M394" s="61"/>
      <c r="N394" s="59"/>
      <c r="O394" s="59"/>
    </row>
    <row r="395" ht="14.25" customHeight="1">
      <c r="A395" s="59"/>
      <c r="B395" s="60"/>
      <c r="C395" s="60"/>
      <c r="D395" s="59"/>
      <c r="E395" s="59"/>
      <c r="F395" s="60"/>
      <c r="G395" s="60"/>
      <c r="H395" s="60"/>
      <c r="I395" s="60"/>
      <c r="J395" s="60"/>
      <c r="K395" s="59"/>
      <c r="L395" s="59"/>
      <c r="M395" s="61"/>
      <c r="N395" s="59"/>
      <c r="O395" s="59"/>
    </row>
    <row r="396" ht="14.25" customHeight="1">
      <c r="A396" s="59"/>
      <c r="B396" s="60"/>
      <c r="C396" s="60"/>
      <c r="D396" s="59"/>
      <c r="E396" s="59"/>
      <c r="F396" s="60"/>
      <c r="G396" s="60"/>
      <c r="H396" s="60"/>
      <c r="I396" s="60"/>
      <c r="J396" s="60"/>
      <c r="K396" s="59"/>
      <c r="L396" s="59"/>
      <c r="M396" s="61"/>
      <c r="N396" s="59"/>
      <c r="O396" s="59"/>
    </row>
    <row r="397" ht="14.25" customHeight="1">
      <c r="A397" s="59"/>
      <c r="B397" s="60"/>
      <c r="C397" s="60"/>
      <c r="D397" s="59"/>
      <c r="E397" s="59"/>
      <c r="F397" s="60"/>
      <c r="G397" s="60"/>
      <c r="H397" s="60"/>
      <c r="I397" s="60"/>
      <c r="J397" s="60"/>
      <c r="K397" s="59"/>
      <c r="L397" s="59"/>
      <c r="M397" s="61"/>
      <c r="N397" s="59"/>
      <c r="O397" s="59"/>
    </row>
    <row r="398" ht="14.25" customHeight="1">
      <c r="A398" s="59"/>
      <c r="B398" s="60"/>
      <c r="C398" s="60"/>
      <c r="D398" s="59"/>
      <c r="E398" s="59"/>
      <c r="F398" s="60"/>
      <c r="G398" s="60"/>
      <c r="H398" s="60"/>
      <c r="I398" s="60"/>
      <c r="J398" s="60"/>
      <c r="K398" s="59"/>
      <c r="L398" s="59"/>
      <c r="M398" s="61"/>
      <c r="N398" s="59"/>
      <c r="O398" s="59"/>
    </row>
    <row r="399" ht="14.25" customHeight="1">
      <c r="A399" s="59"/>
      <c r="B399" s="60"/>
      <c r="C399" s="60"/>
      <c r="D399" s="59"/>
      <c r="E399" s="59"/>
      <c r="F399" s="60"/>
      <c r="G399" s="60"/>
      <c r="H399" s="60"/>
      <c r="I399" s="60"/>
      <c r="J399" s="60"/>
      <c r="K399" s="59"/>
      <c r="L399" s="59"/>
      <c r="M399" s="61"/>
      <c r="N399" s="59"/>
      <c r="O399" s="59"/>
    </row>
    <row r="400" ht="14.25" customHeight="1">
      <c r="A400" s="59"/>
      <c r="B400" s="60"/>
      <c r="C400" s="60"/>
      <c r="D400" s="59"/>
      <c r="E400" s="59"/>
      <c r="F400" s="60"/>
      <c r="G400" s="60"/>
      <c r="H400" s="60"/>
      <c r="I400" s="60"/>
      <c r="J400" s="60"/>
      <c r="K400" s="59"/>
      <c r="L400" s="59"/>
      <c r="M400" s="61"/>
      <c r="N400" s="59"/>
      <c r="O400" s="59"/>
    </row>
    <row r="401" ht="14.25" customHeight="1">
      <c r="A401" s="59"/>
      <c r="B401" s="60"/>
      <c r="C401" s="60"/>
      <c r="D401" s="59"/>
      <c r="E401" s="59"/>
      <c r="F401" s="60"/>
      <c r="G401" s="60"/>
      <c r="H401" s="60"/>
      <c r="I401" s="60"/>
      <c r="J401" s="60"/>
      <c r="K401" s="59"/>
      <c r="L401" s="59"/>
      <c r="M401" s="61"/>
      <c r="N401" s="59"/>
      <c r="O401" s="59"/>
    </row>
    <row r="402" ht="14.25" customHeight="1">
      <c r="A402" s="59"/>
      <c r="B402" s="60"/>
      <c r="C402" s="60"/>
      <c r="D402" s="59"/>
      <c r="E402" s="59"/>
      <c r="F402" s="60"/>
      <c r="G402" s="60"/>
      <c r="H402" s="60"/>
      <c r="I402" s="60"/>
      <c r="J402" s="60"/>
      <c r="K402" s="59"/>
      <c r="L402" s="59"/>
      <c r="M402" s="61"/>
      <c r="N402" s="59"/>
      <c r="O402" s="59"/>
    </row>
    <row r="403" ht="14.25" customHeight="1">
      <c r="A403" s="59"/>
      <c r="B403" s="60"/>
      <c r="C403" s="60"/>
      <c r="D403" s="59"/>
      <c r="E403" s="59"/>
      <c r="F403" s="60"/>
      <c r="G403" s="60"/>
      <c r="H403" s="60"/>
      <c r="I403" s="60"/>
      <c r="J403" s="60"/>
      <c r="K403" s="59"/>
      <c r="L403" s="59"/>
      <c r="M403" s="61"/>
      <c r="N403" s="59"/>
      <c r="O403" s="59"/>
    </row>
    <row r="404" ht="14.25" customHeight="1">
      <c r="A404" s="59"/>
      <c r="B404" s="60"/>
      <c r="C404" s="60"/>
      <c r="D404" s="59"/>
      <c r="E404" s="59"/>
      <c r="F404" s="60"/>
      <c r="G404" s="60"/>
      <c r="H404" s="60"/>
      <c r="I404" s="60"/>
      <c r="J404" s="60"/>
      <c r="K404" s="59"/>
      <c r="L404" s="59"/>
      <c r="M404" s="61"/>
      <c r="N404" s="59"/>
      <c r="O404" s="59"/>
    </row>
    <row r="405" ht="14.25" customHeight="1">
      <c r="A405" s="59"/>
      <c r="B405" s="60"/>
      <c r="C405" s="60"/>
      <c r="D405" s="59"/>
      <c r="E405" s="59"/>
      <c r="F405" s="60"/>
      <c r="G405" s="60"/>
      <c r="H405" s="60"/>
      <c r="I405" s="60"/>
      <c r="J405" s="60"/>
      <c r="K405" s="59"/>
      <c r="L405" s="59"/>
      <c r="M405" s="61"/>
      <c r="N405" s="59"/>
      <c r="O405" s="59"/>
    </row>
    <row r="406" ht="14.25" customHeight="1">
      <c r="A406" s="59"/>
      <c r="B406" s="60"/>
      <c r="C406" s="60"/>
      <c r="D406" s="59"/>
      <c r="E406" s="59"/>
      <c r="F406" s="60"/>
      <c r="G406" s="60"/>
      <c r="H406" s="60"/>
      <c r="I406" s="60"/>
      <c r="J406" s="60"/>
      <c r="K406" s="59"/>
      <c r="L406" s="59"/>
      <c r="M406" s="61"/>
      <c r="N406" s="59"/>
      <c r="O406" s="59"/>
    </row>
    <row r="407" ht="14.25" customHeight="1">
      <c r="A407" s="59"/>
      <c r="B407" s="60"/>
      <c r="C407" s="60"/>
      <c r="D407" s="59"/>
      <c r="E407" s="59"/>
      <c r="F407" s="60"/>
      <c r="G407" s="60"/>
      <c r="H407" s="60"/>
      <c r="I407" s="60"/>
      <c r="J407" s="60"/>
      <c r="K407" s="59"/>
      <c r="L407" s="59"/>
      <c r="M407" s="61"/>
      <c r="N407" s="59"/>
      <c r="O407" s="59"/>
    </row>
    <row r="408" ht="14.25" customHeight="1">
      <c r="A408" s="59"/>
      <c r="B408" s="60"/>
      <c r="C408" s="60"/>
      <c r="D408" s="59"/>
      <c r="E408" s="59"/>
      <c r="F408" s="60"/>
      <c r="G408" s="60"/>
      <c r="H408" s="60"/>
      <c r="I408" s="60"/>
      <c r="J408" s="60"/>
      <c r="K408" s="59"/>
      <c r="L408" s="59"/>
      <c r="M408" s="61"/>
      <c r="N408" s="59"/>
      <c r="O408" s="59"/>
    </row>
    <row r="409" ht="14.25" customHeight="1">
      <c r="A409" s="59"/>
      <c r="B409" s="60"/>
      <c r="C409" s="60"/>
      <c r="D409" s="59"/>
      <c r="E409" s="59"/>
      <c r="F409" s="60"/>
      <c r="G409" s="60"/>
      <c r="H409" s="60"/>
      <c r="I409" s="60"/>
      <c r="J409" s="60"/>
      <c r="K409" s="59"/>
      <c r="L409" s="59"/>
      <c r="M409" s="61"/>
      <c r="N409" s="59"/>
      <c r="O409" s="59"/>
    </row>
    <row r="410" ht="14.25" customHeight="1">
      <c r="A410" s="59"/>
      <c r="B410" s="60"/>
      <c r="C410" s="60"/>
      <c r="D410" s="59"/>
      <c r="E410" s="59"/>
      <c r="F410" s="60"/>
      <c r="G410" s="60"/>
      <c r="H410" s="60"/>
      <c r="I410" s="60"/>
      <c r="J410" s="60"/>
      <c r="K410" s="59"/>
      <c r="L410" s="59"/>
      <c r="M410" s="61"/>
      <c r="N410" s="59"/>
      <c r="O410" s="59"/>
    </row>
    <row r="411" ht="14.25" customHeight="1">
      <c r="A411" s="59"/>
      <c r="B411" s="60"/>
      <c r="C411" s="60"/>
      <c r="D411" s="59"/>
      <c r="E411" s="59"/>
      <c r="F411" s="60"/>
      <c r="G411" s="60"/>
      <c r="H411" s="60"/>
      <c r="I411" s="60"/>
      <c r="J411" s="60"/>
      <c r="K411" s="59"/>
      <c r="L411" s="59"/>
      <c r="M411" s="61"/>
      <c r="N411" s="59"/>
      <c r="O411" s="59"/>
    </row>
    <row r="412" ht="14.25" customHeight="1">
      <c r="A412" s="59"/>
      <c r="B412" s="60"/>
      <c r="C412" s="60"/>
      <c r="D412" s="59"/>
      <c r="E412" s="59"/>
      <c r="F412" s="60"/>
      <c r="G412" s="60"/>
      <c r="H412" s="60"/>
      <c r="I412" s="60"/>
      <c r="J412" s="60"/>
      <c r="K412" s="59"/>
      <c r="L412" s="59"/>
      <c r="M412" s="61"/>
      <c r="N412" s="59"/>
      <c r="O412" s="59"/>
    </row>
    <row r="413" ht="14.25" customHeight="1">
      <c r="A413" s="59"/>
      <c r="B413" s="60"/>
      <c r="C413" s="60"/>
      <c r="D413" s="59"/>
      <c r="E413" s="59"/>
      <c r="F413" s="60"/>
      <c r="G413" s="60"/>
      <c r="H413" s="60"/>
      <c r="I413" s="60"/>
      <c r="J413" s="60"/>
      <c r="K413" s="59"/>
      <c r="L413" s="59"/>
      <c r="M413" s="61"/>
      <c r="N413" s="59"/>
      <c r="O413" s="59"/>
    </row>
    <row r="414" ht="14.25" customHeight="1">
      <c r="A414" s="59"/>
      <c r="B414" s="60"/>
      <c r="C414" s="60"/>
      <c r="D414" s="59"/>
      <c r="E414" s="59"/>
      <c r="F414" s="60"/>
      <c r="G414" s="60"/>
      <c r="H414" s="60"/>
      <c r="I414" s="60"/>
      <c r="J414" s="60"/>
      <c r="K414" s="59"/>
      <c r="L414" s="59"/>
      <c r="M414" s="61"/>
      <c r="N414" s="59"/>
      <c r="O414" s="59"/>
    </row>
    <row r="415" ht="14.25" customHeight="1">
      <c r="A415" s="59"/>
      <c r="B415" s="60"/>
      <c r="C415" s="60"/>
      <c r="D415" s="59"/>
      <c r="E415" s="59"/>
      <c r="F415" s="60"/>
      <c r="G415" s="60"/>
      <c r="H415" s="60"/>
      <c r="I415" s="60"/>
      <c r="J415" s="60"/>
      <c r="K415" s="59"/>
      <c r="L415" s="59"/>
      <c r="M415" s="61"/>
      <c r="N415" s="59"/>
      <c r="O415" s="59"/>
    </row>
    <row r="416" ht="14.25" customHeight="1">
      <c r="A416" s="59"/>
      <c r="B416" s="60"/>
      <c r="C416" s="60"/>
      <c r="D416" s="59"/>
      <c r="E416" s="59"/>
      <c r="F416" s="60"/>
      <c r="G416" s="60"/>
      <c r="H416" s="60"/>
      <c r="I416" s="60"/>
      <c r="J416" s="60"/>
      <c r="K416" s="59"/>
      <c r="L416" s="59"/>
      <c r="M416" s="61"/>
      <c r="N416" s="59"/>
      <c r="O416" s="59"/>
    </row>
    <row r="417" ht="14.25" customHeight="1">
      <c r="A417" s="59"/>
      <c r="B417" s="60"/>
      <c r="C417" s="60"/>
      <c r="D417" s="59"/>
      <c r="E417" s="59"/>
      <c r="F417" s="60"/>
      <c r="G417" s="60"/>
      <c r="H417" s="60"/>
      <c r="I417" s="60"/>
      <c r="J417" s="60"/>
      <c r="K417" s="59"/>
      <c r="L417" s="59"/>
      <c r="M417" s="61"/>
      <c r="N417" s="59"/>
      <c r="O417" s="59"/>
    </row>
    <row r="418" ht="14.25" customHeight="1">
      <c r="A418" s="59"/>
      <c r="B418" s="60"/>
      <c r="C418" s="60"/>
      <c r="D418" s="59"/>
      <c r="E418" s="59"/>
      <c r="F418" s="60"/>
      <c r="G418" s="60"/>
      <c r="H418" s="60"/>
      <c r="I418" s="60"/>
      <c r="J418" s="60"/>
      <c r="K418" s="59"/>
      <c r="L418" s="59"/>
      <c r="M418" s="61"/>
      <c r="N418" s="59"/>
      <c r="O418" s="59"/>
    </row>
    <row r="419" ht="14.25" customHeight="1">
      <c r="A419" s="59"/>
      <c r="B419" s="60"/>
      <c r="C419" s="60"/>
      <c r="D419" s="59"/>
      <c r="E419" s="59"/>
      <c r="F419" s="60"/>
      <c r="G419" s="60"/>
      <c r="H419" s="60"/>
      <c r="I419" s="60"/>
      <c r="J419" s="60"/>
      <c r="K419" s="59"/>
      <c r="L419" s="59"/>
      <c r="M419" s="61"/>
      <c r="N419" s="59"/>
      <c r="O419" s="59"/>
    </row>
    <row r="420" ht="14.25" customHeight="1">
      <c r="A420" s="59"/>
      <c r="B420" s="60"/>
      <c r="C420" s="60"/>
      <c r="D420" s="59"/>
      <c r="E420" s="59"/>
      <c r="F420" s="60"/>
      <c r="G420" s="60"/>
      <c r="H420" s="60"/>
      <c r="I420" s="60"/>
      <c r="J420" s="60"/>
      <c r="K420" s="59"/>
      <c r="L420" s="59"/>
      <c r="M420" s="61"/>
      <c r="N420" s="59"/>
      <c r="O420" s="59"/>
    </row>
    <row r="421" ht="14.25" customHeight="1">
      <c r="A421" s="59"/>
      <c r="B421" s="60"/>
      <c r="C421" s="60"/>
      <c r="D421" s="59"/>
      <c r="E421" s="59"/>
      <c r="F421" s="60"/>
      <c r="G421" s="60"/>
      <c r="H421" s="60"/>
      <c r="I421" s="60"/>
      <c r="J421" s="60"/>
      <c r="K421" s="59"/>
      <c r="L421" s="59"/>
      <c r="M421" s="61"/>
      <c r="N421" s="59"/>
      <c r="O421" s="59"/>
    </row>
    <row r="422" ht="14.25" customHeight="1">
      <c r="A422" s="59"/>
      <c r="B422" s="60"/>
      <c r="C422" s="60"/>
      <c r="D422" s="59"/>
      <c r="E422" s="59"/>
      <c r="F422" s="60"/>
      <c r="G422" s="60"/>
      <c r="H422" s="60"/>
      <c r="I422" s="60"/>
      <c r="J422" s="60"/>
      <c r="K422" s="59"/>
      <c r="L422" s="59"/>
      <c r="M422" s="61"/>
      <c r="N422" s="59"/>
      <c r="O422" s="59"/>
    </row>
    <row r="423" ht="14.25" customHeight="1">
      <c r="A423" s="59"/>
      <c r="B423" s="60"/>
      <c r="C423" s="60"/>
      <c r="D423" s="59"/>
      <c r="E423" s="59"/>
      <c r="F423" s="60"/>
      <c r="G423" s="60"/>
      <c r="H423" s="60"/>
      <c r="I423" s="60"/>
      <c r="J423" s="60"/>
      <c r="K423" s="59"/>
      <c r="L423" s="59"/>
      <c r="M423" s="61"/>
      <c r="N423" s="59"/>
      <c r="O423" s="59"/>
    </row>
    <row r="424" ht="14.25" customHeight="1">
      <c r="A424" s="59"/>
      <c r="B424" s="60"/>
      <c r="C424" s="60"/>
      <c r="D424" s="59"/>
      <c r="E424" s="59"/>
      <c r="F424" s="60"/>
      <c r="G424" s="60"/>
      <c r="H424" s="60"/>
      <c r="I424" s="60"/>
      <c r="J424" s="60"/>
      <c r="K424" s="59"/>
      <c r="L424" s="59"/>
      <c r="M424" s="61"/>
      <c r="N424" s="59"/>
      <c r="O424" s="59"/>
    </row>
    <row r="425" ht="14.25" customHeight="1">
      <c r="A425" s="59"/>
      <c r="B425" s="60"/>
      <c r="C425" s="60"/>
      <c r="D425" s="59"/>
      <c r="E425" s="59"/>
      <c r="F425" s="60"/>
      <c r="G425" s="60"/>
      <c r="H425" s="60"/>
      <c r="I425" s="60"/>
      <c r="J425" s="60"/>
      <c r="K425" s="59"/>
      <c r="L425" s="59"/>
      <c r="M425" s="61"/>
      <c r="N425" s="59"/>
      <c r="O425" s="59"/>
    </row>
    <row r="426" ht="14.25" customHeight="1">
      <c r="A426" s="59"/>
      <c r="B426" s="60"/>
      <c r="C426" s="60"/>
      <c r="D426" s="59"/>
      <c r="E426" s="59"/>
      <c r="F426" s="60"/>
      <c r="G426" s="60"/>
      <c r="H426" s="60"/>
      <c r="I426" s="60"/>
      <c r="J426" s="60"/>
      <c r="K426" s="59"/>
      <c r="L426" s="59"/>
      <c r="M426" s="61"/>
      <c r="N426" s="59"/>
      <c r="O426" s="59"/>
    </row>
    <row r="427" ht="14.25" customHeight="1">
      <c r="A427" s="59"/>
      <c r="B427" s="60"/>
      <c r="C427" s="60"/>
      <c r="D427" s="59"/>
      <c r="E427" s="59"/>
      <c r="F427" s="60"/>
      <c r="G427" s="60"/>
      <c r="H427" s="60"/>
      <c r="I427" s="60"/>
      <c r="J427" s="60"/>
      <c r="K427" s="59"/>
      <c r="L427" s="59"/>
      <c r="M427" s="61"/>
      <c r="N427" s="59"/>
      <c r="O427" s="59"/>
    </row>
    <row r="428" ht="14.25" customHeight="1">
      <c r="A428" s="59"/>
      <c r="B428" s="60"/>
      <c r="C428" s="60"/>
      <c r="D428" s="59"/>
      <c r="E428" s="59"/>
      <c r="F428" s="60"/>
      <c r="G428" s="60"/>
      <c r="H428" s="60"/>
      <c r="I428" s="60"/>
      <c r="J428" s="60"/>
      <c r="K428" s="59"/>
      <c r="L428" s="59"/>
      <c r="M428" s="61"/>
      <c r="N428" s="59"/>
      <c r="O428" s="59"/>
    </row>
    <row r="429" ht="14.25" customHeight="1">
      <c r="A429" s="59"/>
      <c r="B429" s="60"/>
      <c r="C429" s="60"/>
      <c r="D429" s="59"/>
      <c r="E429" s="59"/>
      <c r="F429" s="60"/>
      <c r="G429" s="60"/>
      <c r="H429" s="60"/>
      <c r="I429" s="60"/>
      <c r="J429" s="60"/>
      <c r="K429" s="59"/>
      <c r="L429" s="59"/>
      <c r="M429" s="61"/>
      <c r="N429" s="59"/>
      <c r="O429" s="59"/>
    </row>
    <row r="430" ht="14.25" customHeight="1">
      <c r="A430" s="59"/>
      <c r="B430" s="60"/>
      <c r="C430" s="60"/>
      <c r="D430" s="59"/>
      <c r="E430" s="59"/>
      <c r="F430" s="60"/>
      <c r="G430" s="60"/>
      <c r="H430" s="60"/>
      <c r="I430" s="60"/>
      <c r="J430" s="60"/>
      <c r="K430" s="59"/>
      <c r="L430" s="59"/>
      <c r="M430" s="61"/>
      <c r="N430" s="59"/>
      <c r="O430" s="59"/>
    </row>
    <row r="431" ht="14.25" customHeight="1">
      <c r="A431" s="59"/>
      <c r="B431" s="60"/>
      <c r="C431" s="60"/>
      <c r="D431" s="59"/>
      <c r="E431" s="59"/>
      <c r="F431" s="60"/>
      <c r="G431" s="60"/>
      <c r="H431" s="60"/>
      <c r="I431" s="60"/>
      <c r="J431" s="60"/>
      <c r="K431" s="59"/>
      <c r="L431" s="59"/>
      <c r="M431" s="61"/>
      <c r="N431" s="59"/>
      <c r="O431" s="59"/>
    </row>
    <row r="432" ht="14.25" customHeight="1">
      <c r="A432" s="59"/>
      <c r="B432" s="60"/>
      <c r="C432" s="60"/>
      <c r="D432" s="59"/>
      <c r="E432" s="59"/>
      <c r="F432" s="60"/>
      <c r="G432" s="60"/>
      <c r="H432" s="60"/>
      <c r="I432" s="60"/>
      <c r="J432" s="60"/>
      <c r="K432" s="59"/>
      <c r="L432" s="59"/>
      <c r="M432" s="61"/>
      <c r="N432" s="59"/>
      <c r="O432" s="59"/>
    </row>
    <row r="433" ht="14.25" customHeight="1">
      <c r="A433" s="59"/>
      <c r="B433" s="60"/>
      <c r="C433" s="60"/>
      <c r="D433" s="59"/>
      <c r="E433" s="59"/>
      <c r="F433" s="60"/>
      <c r="G433" s="60"/>
      <c r="H433" s="60"/>
      <c r="I433" s="60"/>
      <c r="J433" s="60"/>
      <c r="K433" s="59"/>
      <c r="L433" s="59"/>
      <c r="M433" s="61"/>
      <c r="N433" s="59"/>
      <c r="O433" s="59"/>
    </row>
    <row r="434" ht="14.25" customHeight="1">
      <c r="A434" s="59"/>
      <c r="B434" s="60"/>
      <c r="C434" s="60"/>
      <c r="D434" s="59"/>
      <c r="E434" s="59"/>
      <c r="F434" s="60"/>
      <c r="G434" s="60"/>
      <c r="H434" s="60"/>
      <c r="I434" s="60"/>
      <c r="J434" s="60"/>
      <c r="K434" s="59"/>
      <c r="L434" s="59"/>
      <c r="M434" s="61"/>
      <c r="N434" s="59"/>
      <c r="O434" s="59"/>
    </row>
    <row r="435" ht="14.25" customHeight="1">
      <c r="A435" s="59"/>
      <c r="B435" s="60"/>
      <c r="C435" s="60"/>
      <c r="D435" s="59"/>
      <c r="E435" s="59"/>
      <c r="F435" s="60"/>
      <c r="G435" s="60"/>
      <c r="H435" s="60"/>
      <c r="I435" s="60"/>
      <c r="J435" s="60"/>
      <c r="K435" s="59"/>
      <c r="L435" s="59"/>
      <c r="M435" s="61"/>
      <c r="N435" s="59"/>
      <c r="O435" s="59"/>
    </row>
    <row r="436" ht="14.25" customHeight="1">
      <c r="A436" s="59"/>
      <c r="B436" s="60"/>
      <c r="C436" s="60"/>
      <c r="D436" s="59"/>
      <c r="E436" s="59"/>
      <c r="F436" s="60"/>
      <c r="G436" s="60"/>
      <c r="H436" s="60"/>
      <c r="I436" s="60"/>
      <c r="J436" s="60"/>
      <c r="K436" s="59"/>
      <c r="L436" s="59"/>
      <c r="M436" s="61"/>
      <c r="N436" s="59"/>
      <c r="O436" s="59"/>
    </row>
    <row r="437" ht="14.25" customHeight="1">
      <c r="A437" s="59"/>
      <c r="B437" s="60"/>
      <c r="C437" s="60"/>
      <c r="D437" s="59"/>
      <c r="E437" s="59"/>
      <c r="F437" s="60"/>
      <c r="G437" s="60"/>
      <c r="H437" s="60"/>
      <c r="I437" s="60"/>
      <c r="J437" s="60"/>
      <c r="K437" s="59"/>
      <c r="L437" s="59"/>
      <c r="M437" s="61"/>
      <c r="N437" s="59"/>
      <c r="O437" s="59"/>
    </row>
    <row r="438" ht="14.25" customHeight="1">
      <c r="A438" s="59"/>
      <c r="B438" s="60"/>
      <c r="C438" s="60"/>
      <c r="D438" s="59"/>
      <c r="E438" s="59"/>
      <c r="F438" s="60"/>
      <c r="G438" s="60"/>
      <c r="H438" s="60"/>
      <c r="I438" s="60"/>
      <c r="J438" s="60"/>
      <c r="K438" s="59"/>
      <c r="L438" s="59"/>
      <c r="M438" s="61"/>
      <c r="N438" s="59"/>
      <c r="O438" s="59"/>
    </row>
    <row r="439" ht="14.25" customHeight="1">
      <c r="A439" s="59"/>
      <c r="B439" s="60"/>
      <c r="C439" s="60"/>
      <c r="D439" s="59"/>
      <c r="E439" s="59"/>
      <c r="F439" s="60"/>
      <c r="G439" s="60"/>
      <c r="H439" s="60"/>
      <c r="I439" s="60"/>
      <c r="J439" s="60"/>
      <c r="K439" s="59"/>
      <c r="L439" s="59"/>
      <c r="M439" s="61"/>
      <c r="N439" s="59"/>
      <c r="O439" s="59"/>
    </row>
    <row r="440" ht="14.25" customHeight="1">
      <c r="A440" s="59"/>
      <c r="B440" s="60"/>
      <c r="C440" s="60"/>
      <c r="D440" s="59"/>
      <c r="E440" s="59"/>
      <c r="F440" s="60"/>
      <c r="G440" s="60"/>
      <c r="H440" s="60"/>
      <c r="I440" s="60"/>
      <c r="J440" s="60"/>
      <c r="K440" s="59"/>
      <c r="L440" s="59"/>
      <c r="M440" s="61"/>
      <c r="N440" s="59"/>
      <c r="O440" s="59"/>
    </row>
    <row r="441" ht="14.25" customHeight="1">
      <c r="A441" s="59"/>
      <c r="B441" s="60"/>
      <c r="C441" s="60"/>
      <c r="D441" s="59"/>
      <c r="E441" s="59"/>
      <c r="F441" s="60"/>
      <c r="G441" s="60"/>
      <c r="H441" s="60"/>
      <c r="I441" s="60"/>
      <c r="J441" s="60"/>
      <c r="K441" s="59"/>
      <c r="L441" s="59"/>
      <c r="M441" s="61"/>
      <c r="N441" s="59"/>
      <c r="O441" s="59"/>
    </row>
    <row r="442" ht="14.25" customHeight="1">
      <c r="A442" s="59"/>
      <c r="B442" s="60"/>
      <c r="C442" s="60"/>
      <c r="D442" s="59"/>
      <c r="E442" s="59"/>
      <c r="F442" s="60"/>
      <c r="G442" s="60"/>
      <c r="H442" s="60"/>
      <c r="I442" s="60"/>
      <c r="J442" s="60"/>
      <c r="K442" s="59"/>
      <c r="L442" s="59"/>
      <c r="M442" s="61"/>
      <c r="N442" s="59"/>
      <c r="O442" s="59"/>
    </row>
    <row r="443" ht="14.25" customHeight="1">
      <c r="A443" s="59"/>
      <c r="B443" s="60"/>
      <c r="C443" s="60"/>
      <c r="D443" s="59"/>
      <c r="E443" s="59"/>
      <c r="F443" s="60"/>
      <c r="G443" s="60"/>
      <c r="H443" s="60"/>
      <c r="I443" s="60"/>
      <c r="J443" s="60"/>
      <c r="K443" s="59"/>
      <c r="L443" s="59"/>
      <c r="M443" s="61"/>
      <c r="N443" s="59"/>
      <c r="O443" s="59"/>
    </row>
    <row r="444" ht="14.25" customHeight="1">
      <c r="A444" s="59"/>
      <c r="B444" s="60"/>
      <c r="C444" s="60"/>
      <c r="D444" s="59"/>
      <c r="E444" s="59"/>
      <c r="F444" s="60"/>
      <c r="G444" s="60"/>
      <c r="H444" s="60"/>
      <c r="I444" s="60"/>
      <c r="J444" s="60"/>
      <c r="K444" s="59"/>
      <c r="L444" s="59"/>
      <c r="M444" s="61"/>
      <c r="N444" s="59"/>
      <c r="O444" s="59"/>
    </row>
    <row r="445" ht="14.25" customHeight="1">
      <c r="A445" s="59"/>
      <c r="B445" s="60"/>
      <c r="C445" s="60"/>
      <c r="D445" s="59"/>
      <c r="E445" s="59"/>
      <c r="F445" s="60"/>
      <c r="G445" s="60"/>
      <c r="H445" s="60"/>
      <c r="I445" s="60"/>
      <c r="J445" s="60"/>
      <c r="K445" s="59"/>
      <c r="L445" s="59"/>
      <c r="M445" s="61"/>
      <c r="N445" s="59"/>
      <c r="O445" s="59"/>
    </row>
    <row r="446" ht="14.25" customHeight="1">
      <c r="A446" s="59"/>
      <c r="B446" s="60"/>
      <c r="C446" s="60"/>
      <c r="D446" s="59"/>
      <c r="E446" s="59"/>
      <c r="F446" s="60"/>
      <c r="G446" s="60"/>
      <c r="H446" s="60"/>
      <c r="I446" s="60"/>
      <c r="J446" s="60"/>
      <c r="K446" s="59"/>
      <c r="L446" s="59"/>
      <c r="M446" s="61"/>
      <c r="N446" s="59"/>
      <c r="O446" s="59"/>
    </row>
    <row r="447" ht="14.25" customHeight="1">
      <c r="A447" s="59"/>
      <c r="B447" s="60"/>
      <c r="C447" s="60"/>
      <c r="D447" s="59"/>
      <c r="E447" s="59"/>
      <c r="F447" s="60"/>
      <c r="G447" s="60"/>
      <c r="H447" s="60"/>
      <c r="I447" s="60"/>
      <c r="J447" s="60"/>
      <c r="K447" s="59"/>
      <c r="L447" s="59"/>
      <c r="M447" s="61"/>
      <c r="N447" s="59"/>
      <c r="O447" s="59"/>
    </row>
    <row r="448" ht="14.25" customHeight="1">
      <c r="A448" s="59"/>
      <c r="B448" s="60"/>
      <c r="C448" s="60"/>
      <c r="D448" s="59"/>
      <c r="E448" s="59"/>
      <c r="F448" s="60"/>
      <c r="G448" s="60"/>
      <c r="H448" s="60"/>
      <c r="I448" s="60"/>
      <c r="J448" s="60"/>
      <c r="K448" s="59"/>
      <c r="L448" s="59"/>
      <c r="M448" s="61"/>
      <c r="N448" s="59"/>
      <c r="O448" s="59"/>
    </row>
    <row r="449" ht="14.25" customHeight="1">
      <c r="A449" s="59"/>
      <c r="B449" s="60"/>
      <c r="C449" s="60"/>
      <c r="D449" s="59"/>
      <c r="E449" s="59"/>
      <c r="F449" s="60"/>
      <c r="G449" s="60"/>
      <c r="H449" s="60"/>
      <c r="I449" s="60"/>
      <c r="J449" s="60"/>
      <c r="K449" s="59"/>
      <c r="L449" s="59"/>
      <c r="M449" s="61"/>
      <c r="N449" s="59"/>
      <c r="O449" s="59"/>
    </row>
    <row r="450" ht="14.25" customHeight="1">
      <c r="A450" s="59"/>
      <c r="B450" s="60"/>
      <c r="C450" s="60"/>
      <c r="D450" s="59"/>
      <c r="E450" s="59"/>
      <c r="F450" s="60"/>
      <c r="G450" s="60"/>
      <c r="H450" s="60"/>
      <c r="I450" s="60"/>
      <c r="J450" s="60"/>
      <c r="K450" s="59"/>
      <c r="L450" s="59"/>
      <c r="M450" s="61"/>
      <c r="N450" s="59"/>
      <c r="O450" s="59"/>
    </row>
    <row r="451" ht="14.25" customHeight="1">
      <c r="A451" s="59"/>
      <c r="B451" s="60"/>
      <c r="C451" s="60"/>
      <c r="D451" s="59"/>
      <c r="E451" s="59"/>
      <c r="F451" s="60"/>
      <c r="G451" s="60"/>
      <c r="H451" s="60"/>
      <c r="I451" s="60"/>
      <c r="J451" s="60"/>
      <c r="K451" s="59"/>
      <c r="L451" s="59"/>
      <c r="M451" s="61"/>
      <c r="N451" s="59"/>
      <c r="O451" s="59"/>
    </row>
    <row r="452" ht="14.25" customHeight="1">
      <c r="A452" s="59"/>
      <c r="B452" s="60"/>
      <c r="C452" s="60"/>
      <c r="D452" s="59"/>
      <c r="E452" s="59"/>
      <c r="F452" s="60"/>
      <c r="G452" s="60"/>
      <c r="H452" s="60"/>
      <c r="I452" s="60"/>
      <c r="J452" s="60"/>
      <c r="K452" s="59"/>
      <c r="L452" s="59"/>
      <c r="M452" s="61"/>
      <c r="N452" s="59"/>
      <c r="O452" s="59"/>
    </row>
    <row r="453" ht="14.25" customHeight="1">
      <c r="A453" s="59"/>
      <c r="B453" s="60"/>
      <c r="C453" s="60"/>
      <c r="D453" s="59"/>
      <c r="E453" s="59"/>
      <c r="F453" s="60"/>
      <c r="G453" s="60"/>
      <c r="H453" s="60"/>
      <c r="I453" s="60"/>
      <c r="J453" s="60"/>
      <c r="K453" s="59"/>
      <c r="L453" s="59"/>
      <c r="M453" s="61"/>
      <c r="N453" s="59"/>
      <c r="O453" s="59"/>
    </row>
    <row r="454" ht="14.25" customHeight="1">
      <c r="A454" s="59"/>
      <c r="B454" s="60"/>
      <c r="C454" s="60"/>
      <c r="D454" s="59"/>
      <c r="E454" s="59"/>
      <c r="F454" s="60"/>
      <c r="G454" s="60"/>
      <c r="H454" s="60"/>
      <c r="I454" s="60"/>
      <c r="J454" s="60"/>
      <c r="K454" s="59"/>
      <c r="L454" s="59"/>
      <c r="M454" s="61"/>
      <c r="N454" s="59"/>
      <c r="O454" s="59"/>
    </row>
    <row r="455" ht="14.25" customHeight="1">
      <c r="A455" s="59"/>
      <c r="B455" s="60"/>
      <c r="C455" s="60"/>
      <c r="D455" s="59"/>
      <c r="E455" s="59"/>
      <c r="F455" s="60"/>
      <c r="G455" s="60"/>
      <c r="H455" s="60"/>
      <c r="I455" s="60"/>
      <c r="J455" s="60"/>
      <c r="K455" s="59"/>
      <c r="L455" s="59"/>
      <c r="M455" s="61"/>
      <c r="N455" s="59"/>
      <c r="O455" s="59"/>
    </row>
    <row r="456" ht="14.25" customHeight="1">
      <c r="A456" s="59"/>
      <c r="B456" s="60"/>
      <c r="C456" s="60"/>
      <c r="D456" s="59"/>
      <c r="E456" s="59"/>
      <c r="F456" s="60"/>
      <c r="G456" s="60"/>
      <c r="H456" s="60"/>
      <c r="I456" s="60"/>
      <c r="J456" s="60"/>
      <c r="K456" s="59"/>
      <c r="L456" s="59"/>
      <c r="M456" s="61"/>
      <c r="N456" s="59"/>
      <c r="O456" s="59"/>
    </row>
    <row r="457" ht="14.25" customHeight="1">
      <c r="A457" s="59"/>
      <c r="B457" s="60"/>
      <c r="C457" s="60"/>
      <c r="D457" s="59"/>
      <c r="E457" s="59"/>
      <c r="F457" s="60"/>
      <c r="G457" s="60"/>
      <c r="H457" s="60"/>
      <c r="I457" s="60"/>
      <c r="J457" s="60"/>
      <c r="K457" s="59"/>
      <c r="L457" s="59"/>
      <c r="M457" s="61"/>
      <c r="N457" s="59"/>
      <c r="O457" s="59"/>
    </row>
    <row r="458" ht="14.25" customHeight="1">
      <c r="A458" s="59"/>
      <c r="B458" s="60"/>
      <c r="C458" s="60"/>
      <c r="D458" s="59"/>
      <c r="E458" s="59"/>
      <c r="F458" s="60"/>
      <c r="G458" s="60"/>
      <c r="H458" s="60"/>
      <c r="I458" s="60"/>
      <c r="J458" s="60"/>
      <c r="K458" s="59"/>
      <c r="L458" s="59"/>
      <c r="M458" s="61"/>
      <c r="N458" s="59"/>
      <c r="O458" s="59"/>
    </row>
    <row r="459" ht="14.25" customHeight="1">
      <c r="A459" s="59"/>
      <c r="B459" s="60"/>
      <c r="C459" s="60"/>
      <c r="D459" s="59"/>
      <c r="E459" s="59"/>
      <c r="F459" s="60"/>
      <c r="G459" s="60"/>
      <c r="H459" s="60"/>
      <c r="I459" s="60"/>
      <c r="J459" s="60"/>
      <c r="K459" s="59"/>
      <c r="L459" s="59"/>
      <c r="M459" s="61"/>
      <c r="N459" s="59"/>
      <c r="O459" s="59"/>
    </row>
    <row r="460" ht="14.25" customHeight="1">
      <c r="A460" s="59"/>
      <c r="B460" s="60"/>
      <c r="C460" s="60"/>
      <c r="D460" s="59"/>
      <c r="E460" s="59"/>
      <c r="F460" s="60"/>
      <c r="G460" s="60"/>
      <c r="H460" s="60"/>
      <c r="I460" s="60"/>
      <c r="J460" s="60"/>
      <c r="K460" s="59"/>
      <c r="L460" s="59"/>
      <c r="M460" s="61"/>
      <c r="N460" s="59"/>
      <c r="O460" s="59"/>
    </row>
    <row r="461" ht="14.25" customHeight="1">
      <c r="A461" s="59"/>
      <c r="B461" s="60"/>
      <c r="C461" s="60"/>
      <c r="D461" s="59"/>
      <c r="E461" s="59"/>
      <c r="F461" s="60"/>
      <c r="G461" s="60"/>
      <c r="H461" s="60"/>
      <c r="I461" s="60"/>
      <c r="J461" s="60"/>
      <c r="K461" s="59"/>
      <c r="L461" s="59"/>
      <c r="M461" s="61"/>
      <c r="N461" s="59"/>
      <c r="O461" s="59"/>
    </row>
    <row r="462" ht="14.25" customHeight="1">
      <c r="A462" s="59"/>
      <c r="B462" s="60"/>
      <c r="C462" s="60"/>
      <c r="D462" s="59"/>
      <c r="E462" s="59"/>
      <c r="F462" s="60"/>
      <c r="G462" s="60"/>
      <c r="H462" s="60"/>
      <c r="I462" s="60"/>
      <c r="J462" s="60"/>
      <c r="K462" s="59"/>
      <c r="L462" s="59"/>
      <c r="M462" s="61"/>
      <c r="N462" s="59"/>
      <c r="O462" s="59"/>
    </row>
    <row r="463" ht="14.25" customHeight="1">
      <c r="A463" s="59"/>
      <c r="B463" s="60"/>
      <c r="C463" s="60"/>
      <c r="D463" s="59"/>
      <c r="E463" s="59"/>
      <c r="F463" s="60"/>
      <c r="G463" s="60"/>
      <c r="H463" s="60"/>
      <c r="I463" s="60"/>
      <c r="J463" s="60"/>
      <c r="K463" s="59"/>
      <c r="L463" s="59"/>
      <c r="M463" s="61"/>
      <c r="N463" s="59"/>
      <c r="O463" s="59"/>
    </row>
    <row r="464" ht="14.25" customHeight="1">
      <c r="A464" s="59"/>
      <c r="B464" s="60"/>
      <c r="C464" s="60"/>
      <c r="D464" s="59"/>
      <c r="E464" s="59"/>
      <c r="F464" s="60"/>
      <c r="G464" s="60"/>
      <c r="H464" s="60"/>
      <c r="I464" s="60"/>
      <c r="J464" s="60"/>
      <c r="K464" s="59"/>
      <c r="L464" s="59"/>
      <c r="M464" s="61"/>
      <c r="N464" s="59"/>
      <c r="O464" s="59"/>
    </row>
    <row r="465" ht="14.25" customHeight="1">
      <c r="A465" s="59"/>
      <c r="B465" s="60"/>
      <c r="C465" s="60"/>
      <c r="D465" s="59"/>
      <c r="E465" s="59"/>
      <c r="F465" s="60"/>
      <c r="G465" s="60"/>
      <c r="H465" s="60"/>
      <c r="I465" s="60"/>
      <c r="J465" s="60"/>
      <c r="K465" s="59"/>
      <c r="L465" s="59"/>
      <c r="M465" s="61"/>
      <c r="N465" s="59"/>
      <c r="O465" s="59"/>
    </row>
    <row r="466" ht="14.25" customHeight="1">
      <c r="A466" s="59"/>
      <c r="B466" s="60"/>
      <c r="C466" s="60"/>
      <c r="D466" s="59"/>
      <c r="E466" s="59"/>
      <c r="F466" s="60"/>
      <c r="G466" s="60"/>
      <c r="H466" s="60"/>
      <c r="I466" s="60"/>
      <c r="J466" s="60"/>
      <c r="K466" s="59"/>
      <c r="L466" s="59"/>
      <c r="M466" s="61"/>
      <c r="N466" s="59"/>
      <c r="O466" s="59"/>
    </row>
    <row r="467" ht="14.25" customHeight="1">
      <c r="A467" s="59"/>
      <c r="B467" s="60"/>
      <c r="C467" s="60"/>
      <c r="D467" s="59"/>
      <c r="E467" s="59"/>
      <c r="F467" s="60"/>
      <c r="G467" s="60"/>
      <c r="H467" s="60"/>
      <c r="I467" s="60"/>
      <c r="J467" s="60"/>
      <c r="K467" s="59"/>
      <c r="L467" s="59"/>
      <c r="M467" s="61"/>
      <c r="N467" s="59"/>
      <c r="O467" s="59"/>
    </row>
    <row r="468" ht="14.25" customHeight="1">
      <c r="A468" s="59"/>
      <c r="B468" s="60"/>
      <c r="C468" s="60"/>
      <c r="D468" s="59"/>
      <c r="E468" s="59"/>
      <c r="F468" s="60"/>
      <c r="G468" s="60"/>
      <c r="H468" s="60"/>
      <c r="I468" s="60"/>
      <c r="J468" s="60"/>
      <c r="K468" s="59"/>
      <c r="L468" s="59"/>
      <c r="M468" s="61"/>
      <c r="N468" s="59"/>
      <c r="O468" s="59"/>
    </row>
    <row r="469" ht="14.25" customHeight="1">
      <c r="A469" s="59"/>
      <c r="B469" s="60"/>
      <c r="C469" s="60"/>
      <c r="D469" s="59"/>
      <c r="E469" s="59"/>
      <c r="F469" s="60"/>
      <c r="G469" s="60"/>
      <c r="H469" s="60"/>
      <c r="I469" s="60"/>
      <c r="J469" s="60"/>
      <c r="K469" s="59"/>
      <c r="L469" s="59"/>
      <c r="M469" s="61"/>
      <c r="N469" s="59"/>
      <c r="O469" s="59"/>
    </row>
    <row r="470" ht="14.25" customHeight="1">
      <c r="A470" s="59"/>
      <c r="B470" s="60"/>
      <c r="C470" s="60"/>
      <c r="D470" s="59"/>
      <c r="E470" s="59"/>
      <c r="F470" s="60"/>
      <c r="G470" s="60"/>
      <c r="H470" s="60"/>
      <c r="I470" s="60"/>
      <c r="J470" s="60"/>
      <c r="K470" s="59"/>
      <c r="L470" s="59"/>
      <c r="M470" s="61"/>
      <c r="N470" s="59"/>
      <c r="O470" s="59"/>
    </row>
    <row r="471" ht="14.25" customHeight="1">
      <c r="A471" s="59"/>
      <c r="B471" s="60"/>
      <c r="C471" s="60"/>
      <c r="D471" s="59"/>
      <c r="E471" s="59"/>
      <c r="F471" s="60"/>
      <c r="G471" s="60"/>
      <c r="H471" s="60"/>
      <c r="I471" s="60"/>
      <c r="J471" s="60"/>
      <c r="K471" s="59"/>
      <c r="L471" s="59"/>
      <c r="M471" s="61"/>
      <c r="N471" s="59"/>
      <c r="O471" s="59"/>
    </row>
    <row r="472" ht="14.25" customHeight="1">
      <c r="A472" s="59"/>
      <c r="B472" s="60"/>
      <c r="C472" s="60"/>
      <c r="D472" s="59"/>
      <c r="E472" s="59"/>
      <c r="F472" s="60"/>
      <c r="G472" s="60"/>
      <c r="H472" s="60"/>
      <c r="I472" s="60"/>
      <c r="J472" s="60"/>
      <c r="K472" s="59"/>
      <c r="L472" s="59"/>
      <c r="M472" s="61"/>
      <c r="N472" s="59"/>
      <c r="O472" s="59"/>
    </row>
    <row r="473" ht="14.25" customHeight="1">
      <c r="A473" s="59"/>
      <c r="B473" s="60"/>
      <c r="C473" s="60"/>
      <c r="D473" s="59"/>
      <c r="E473" s="59"/>
      <c r="F473" s="60"/>
      <c r="G473" s="60"/>
      <c r="H473" s="60"/>
      <c r="I473" s="60"/>
      <c r="J473" s="60"/>
      <c r="K473" s="59"/>
      <c r="L473" s="59"/>
      <c r="M473" s="61"/>
      <c r="N473" s="59"/>
      <c r="O473" s="59"/>
    </row>
    <row r="474" ht="14.25" customHeight="1">
      <c r="A474" s="59"/>
      <c r="B474" s="60"/>
      <c r="C474" s="60"/>
      <c r="D474" s="59"/>
      <c r="E474" s="59"/>
      <c r="F474" s="60"/>
      <c r="G474" s="60"/>
      <c r="H474" s="60"/>
      <c r="I474" s="60"/>
      <c r="J474" s="60"/>
      <c r="K474" s="59"/>
      <c r="L474" s="59"/>
      <c r="M474" s="61"/>
      <c r="N474" s="59"/>
      <c r="O474" s="59"/>
    </row>
    <row r="475" ht="14.25" customHeight="1">
      <c r="A475" s="59"/>
      <c r="B475" s="60"/>
      <c r="C475" s="60"/>
      <c r="D475" s="59"/>
      <c r="E475" s="59"/>
      <c r="F475" s="60"/>
      <c r="G475" s="60"/>
      <c r="H475" s="60"/>
      <c r="I475" s="60"/>
      <c r="J475" s="60"/>
      <c r="K475" s="59"/>
      <c r="L475" s="59"/>
      <c r="M475" s="61"/>
      <c r="N475" s="59"/>
      <c r="O475" s="59"/>
    </row>
    <row r="476" ht="14.25" customHeight="1">
      <c r="A476" s="59"/>
      <c r="B476" s="60"/>
      <c r="C476" s="60"/>
      <c r="D476" s="59"/>
      <c r="E476" s="59"/>
      <c r="F476" s="60"/>
      <c r="G476" s="60"/>
      <c r="H476" s="60"/>
      <c r="I476" s="60"/>
      <c r="J476" s="60"/>
      <c r="K476" s="59"/>
      <c r="L476" s="59"/>
      <c r="M476" s="61"/>
      <c r="N476" s="59"/>
      <c r="O476" s="59"/>
    </row>
    <row r="477" ht="14.25" customHeight="1">
      <c r="A477" s="59"/>
      <c r="B477" s="60"/>
      <c r="C477" s="60"/>
      <c r="D477" s="59"/>
      <c r="E477" s="59"/>
      <c r="F477" s="60"/>
      <c r="G477" s="60"/>
      <c r="H477" s="60"/>
      <c r="I477" s="60"/>
      <c r="J477" s="60"/>
      <c r="K477" s="59"/>
      <c r="L477" s="59"/>
      <c r="M477" s="61"/>
      <c r="N477" s="59"/>
      <c r="O477" s="59"/>
    </row>
    <row r="478" ht="14.25" customHeight="1">
      <c r="A478" s="59"/>
      <c r="B478" s="60"/>
      <c r="C478" s="60"/>
      <c r="D478" s="59"/>
      <c r="E478" s="59"/>
      <c r="F478" s="60"/>
      <c r="G478" s="60"/>
      <c r="H478" s="60"/>
      <c r="I478" s="60"/>
      <c r="J478" s="60"/>
      <c r="K478" s="59"/>
      <c r="L478" s="59"/>
      <c r="M478" s="61"/>
      <c r="N478" s="59"/>
      <c r="O478" s="59"/>
    </row>
    <row r="479" ht="14.25" customHeight="1">
      <c r="A479" s="59"/>
      <c r="B479" s="60"/>
      <c r="C479" s="60"/>
      <c r="D479" s="59"/>
      <c r="E479" s="59"/>
      <c r="F479" s="60"/>
      <c r="G479" s="60"/>
      <c r="H479" s="60"/>
      <c r="I479" s="60"/>
      <c r="J479" s="60"/>
      <c r="K479" s="59"/>
      <c r="L479" s="59"/>
      <c r="M479" s="61"/>
      <c r="N479" s="59"/>
      <c r="O479" s="59"/>
    </row>
    <row r="480" ht="14.25" customHeight="1">
      <c r="A480" s="59"/>
      <c r="B480" s="60"/>
      <c r="C480" s="60"/>
      <c r="D480" s="59"/>
      <c r="E480" s="59"/>
      <c r="F480" s="60"/>
      <c r="G480" s="60"/>
      <c r="H480" s="60"/>
      <c r="I480" s="60"/>
      <c r="J480" s="60"/>
      <c r="K480" s="59"/>
      <c r="L480" s="59"/>
      <c r="M480" s="61"/>
      <c r="N480" s="59"/>
      <c r="O480" s="59"/>
    </row>
    <row r="481" ht="14.25" customHeight="1">
      <c r="A481" s="59"/>
      <c r="B481" s="60"/>
      <c r="C481" s="60"/>
      <c r="D481" s="59"/>
      <c r="E481" s="59"/>
      <c r="F481" s="60"/>
      <c r="G481" s="60"/>
      <c r="H481" s="60"/>
      <c r="I481" s="60"/>
      <c r="J481" s="60"/>
      <c r="K481" s="59"/>
      <c r="L481" s="59"/>
      <c r="M481" s="61"/>
      <c r="N481" s="59"/>
      <c r="O481" s="59"/>
    </row>
    <row r="482" ht="14.25" customHeight="1">
      <c r="A482" s="59"/>
      <c r="B482" s="60"/>
      <c r="C482" s="60"/>
      <c r="D482" s="59"/>
      <c r="E482" s="59"/>
      <c r="F482" s="60"/>
      <c r="G482" s="60"/>
      <c r="H482" s="60"/>
      <c r="I482" s="60"/>
      <c r="J482" s="60"/>
      <c r="K482" s="59"/>
      <c r="L482" s="59"/>
      <c r="M482" s="61"/>
      <c r="N482" s="59"/>
      <c r="O482" s="59"/>
    </row>
    <row r="483" ht="14.25" customHeight="1">
      <c r="A483" s="59"/>
      <c r="B483" s="60"/>
      <c r="C483" s="60"/>
      <c r="D483" s="59"/>
      <c r="E483" s="59"/>
      <c r="F483" s="60"/>
      <c r="G483" s="60"/>
      <c r="H483" s="60"/>
      <c r="I483" s="60"/>
      <c r="J483" s="60"/>
      <c r="K483" s="59"/>
      <c r="L483" s="59"/>
      <c r="M483" s="61"/>
      <c r="N483" s="59"/>
      <c r="O483" s="59"/>
    </row>
    <row r="484" ht="14.25" customHeight="1">
      <c r="A484" s="59"/>
      <c r="B484" s="60"/>
      <c r="C484" s="60"/>
      <c r="D484" s="59"/>
      <c r="E484" s="59"/>
      <c r="F484" s="60"/>
      <c r="G484" s="60"/>
      <c r="H484" s="60"/>
      <c r="I484" s="60"/>
      <c r="J484" s="60"/>
      <c r="K484" s="59"/>
      <c r="L484" s="59"/>
      <c r="M484" s="61"/>
      <c r="N484" s="59"/>
      <c r="O484" s="59"/>
    </row>
    <row r="485" ht="14.25" customHeight="1">
      <c r="A485" s="59"/>
      <c r="B485" s="60"/>
      <c r="C485" s="60"/>
      <c r="D485" s="59"/>
      <c r="E485" s="59"/>
      <c r="F485" s="60"/>
      <c r="G485" s="60"/>
      <c r="H485" s="60"/>
      <c r="I485" s="60"/>
      <c r="J485" s="60"/>
      <c r="K485" s="59"/>
      <c r="L485" s="59"/>
      <c r="M485" s="61"/>
      <c r="N485" s="59"/>
      <c r="O485" s="59"/>
    </row>
    <row r="486" ht="14.25" customHeight="1">
      <c r="A486" s="59"/>
      <c r="B486" s="60"/>
      <c r="C486" s="60"/>
      <c r="D486" s="59"/>
      <c r="E486" s="59"/>
      <c r="F486" s="60"/>
      <c r="G486" s="60"/>
      <c r="H486" s="60"/>
      <c r="I486" s="60"/>
      <c r="J486" s="60"/>
      <c r="K486" s="59"/>
      <c r="L486" s="59"/>
      <c r="M486" s="61"/>
      <c r="N486" s="59"/>
      <c r="O486" s="59"/>
    </row>
    <row r="487" ht="14.25" customHeight="1">
      <c r="A487" s="59"/>
      <c r="B487" s="60"/>
      <c r="C487" s="60"/>
      <c r="D487" s="59"/>
      <c r="E487" s="59"/>
      <c r="F487" s="60"/>
      <c r="G487" s="60"/>
      <c r="H487" s="60"/>
      <c r="I487" s="60"/>
      <c r="J487" s="60"/>
      <c r="K487" s="59"/>
      <c r="L487" s="59"/>
      <c r="M487" s="61"/>
      <c r="N487" s="59"/>
      <c r="O487" s="59"/>
    </row>
    <row r="488" ht="14.25" customHeight="1">
      <c r="A488" s="59"/>
      <c r="B488" s="60"/>
      <c r="C488" s="60"/>
      <c r="D488" s="59"/>
      <c r="E488" s="59"/>
      <c r="F488" s="60"/>
      <c r="G488" s="60"/>
      <c r="H488" s="60"/>
      <c r="I488" s="60"/>
      <c r="J488" s="60"/>
      <c r="K488" s="59"/>
      <c r="L488" s="59"/>
      <c r="M488" s="61"/>
      <c r="N488" s="59"/>
      <c r="O488" s="59"/>
    </row>
    <row r="489" ht="14.25" customHeight="1">
      <c r="A489" s="59"/>
      <c r="B489" s="60"/>
      <c r="C489" s="60"/>
      <c r="D489" s="59"/>
      <c r="E489" s="59"/>
      <c r="F489" s="60"/>
      <c r="G489" s="60"/>
      <c r="H489" s="60"/>
      <c r="I489" s="60"/>
      <c r="J489" s="60"/>
      <c r="K489" s="59"/>
      <c r="L489" s="59"/>
      <c r="M489" s="61"/>
      <c r="N489" s="59"/>
      <c r="O489" s="59"/>
    </row>
    <row r="490" ht="14.25" customHeight="1">
      <c r="A490" s="59"/>
      <c r="B490" s="60"/>
      <c r="C490" s="60"/>
      <c r="D490" s="59"/>
      <c r="E490" s="59"/>
      <c r="F490" s="60"/>
      <c r="G490" s="60"/>
      <c r="H490" s="60"/>
      <c r="I490" s="60"/>
      <c r="J490" s="60"/>
      <c r="K490" s="59"/>
      <c r="L490" s="59"/>
      <c r="M490" s="61"/>
      <c r="N490" s="59"/>
      <c r="O490" s="59"/>
    </row>
    <row r="491" ht="14.25" customHeight="1">
      <c r="A491" s="59"/>
      <c r="B491" s="60"/>
      <c r="C491" s="60"/>
      <c r="D491" s="59"/>
      <c r="E491" s="59"/>
      <c r="F491" s="60"/>
      <c r="G491" s="60"/>
      <c r="H491" s="60"/>
      <c r="I491" s="60"/>
      <c r="J491" s="60"/>
      <c r="K491" s="59"/>
      <c r="L491" s="59"/>
      <c r="M491" s="61"/>
      <c r="N491" s="59"/>
      <c r="O491" s="59"/>
    </row>
    <row r="492" ht="14.25" customHeight="1">
      <c r="A492" s="59"/>
      <c r="B492" s="60"/>
      <c r="C492" s="60"/>
      <c r="D492" s="59"/>
      <c r="E492" s="59"/>
      <c r="F492" s="60"/>
      <c r="G492" s="60"/>
      <c r="H492" s="60"/>
      <c r="I492" s="60"/>
      <c r="J492" s="60"/>
      <c r="K492" s="59"/>
      <c r="L492" s="59"/>
      <c r="M492" s="61"/>
      <c r="N492" s="59"/>
      <c r="O492" s="59"/>
    </row>
    <row r="493" ht="14.25" customHeight="1">
      <c r="A493" s="59"/>
      <c r="B493" s="60"/>
      <c r="C493" s="60"/>
      <c r="D493" s="59"/>
      <c r="E493" s="59"/>
      <c r="F493" s="60"/>
      <c r="G493" s="60"/>
      <c r="H493" s="60"/>
      <c r="I493" s="60"/>
      <c r="J493" s="60"/>
      <c r="K493" s="59"/>
      <c r="L493" s="59"/>
      <c r="M493" s="61"/>
      <c r="N493" s="59"/>
      <c r="O493" s="59"/>
    </row>
    <row r="494" ht="14.25" customHeight="1">
      <c r="A494" s="59"/>
      <c r="B494" s="60"/>
      <c r="C494" s="60"/>
      <c r="D494" s="59"/>
      <c r="E494" s="59"/>
      <c r="F494" s="60"/>
      <c r="G494" s="60"/>
      <c r="H494" s="60"/>
      <c r="I494" s="60"/>
      <c r="J494" s="60"/>
      <c r="K494" s="59"/>
      <c r="L494" s="59"/>
      <c r="M494" s="61"/>
      <c r="N494" s="59"/>
      <c r="O494" s="59"/>
    </row>
    <row r="495" ht="14.25" customHeight="1">
      <c r="A495" s="59"/>
      <c r="B495" s="60"/>
      <c r="C495" s="60"/>
      <c r="D495" s="59"/>
      <c r="E495" s="59"/>
      <c r="F495" s="60"/>
      <c r="G495" s="60"/>
      <c r="H495" s="60"/>
      <c r="I495" s="60"/>
      <c r="J495" s="60"/>
      <c r="K495" s="59"/>
      <c r="L495" s="59"/>
      <c r="M495" s="61"/>
      <c r="N495" s="59"/>
      <c r="O495" s="59"/>
    </row>
    <row r="496" ht="14.25" customHeight="1">
      <c r="A496" s="59"/>
      <c r="B496" s="60"/>
      <c r="C496" s="60"/>
      <c r="D496" s="59"/>
      <c r="E496" s="59"/>
      <c r="F496" s="60"/>
      <c r="G496" s="60"/>
      <c r="H496" s="60"/>
      <c r="I496" s="60"/>
      <c r="J496" s="60"/>
      <c r="K496" s="59"/>
      <c r="L496" s="59"/>
      <c r="M496" s="61"/>
      <c r="N496" s="59"/>
      <c r="O496" s="59"/>
    </row>
    <row r="497" ht="14.25" customHeight="1">
      <c r="A497" s="59"/>
      <c r="B497" s="60"/>
      <c r="C497" s="60"/>
      <c r="D497" s="59"/>
      <c r="E497" s="59"/>
      <c r="F497" s="60"/>
      <c r="G497" s="60"/>
      <c r="H497" s="60"/>
      <c r="I497" s="60"/>
      <c r="J497" s="60"/>
      <c r="K497" s="59"/>
      <c r="L497" s="59"/>
      <c r="M497" s="61"/>
      <c r="N497" s="59"/>
      <c r="O497" s="59"/>
    </row>
    <row r="498" ht="14.25" customHeight="1">
      <c r="A498" s="59"/>
      <c r="B498" s="60"/>
      <c r="C498" s="60"/>
      <c r="D498" s="59"/>
      <c r="E498" s="59"/>
      <c r="F498" s="60"/>
      <c r="G498" s="60"/>
      <c r="H498" s="60"/>
      <c r="I498" s="60"/>
      <c r="J498" s="60"/>
      <c r="K498" s="59"/>
      <c r="L498" s="59"/>
      <c r="M498" s="61"/>
      <c r="N498" s="59"/>
      <c r="O498" s="59"/>
    </row>
    <row r="499" ht="14.25" customHeight="1">
      <c r="A499" s="59"/>
      <c r="B499" s="60"/>
      <c r="C499" s="60"/>
      <c r="D499" s="59"/>
      <c r="E499" s="59"/>
      <c r="F499" s="60"/>
      <c r="G499" s="60"/>
      <c r="H499" s="60"/>
      <c r="I499" s="60"/>
      <c r="J499" s="60"/>
      <c r="K499" s="59"/>
      <c r="L499" s="59"/>
      <c r="M499" s="61"/>
      <c r="N499" s="59"/>
      <c r="O499" s="59"/>
    </row>
    <row r="500" ht="14.25" customHeight="1">
      <c r="A500" s="59"/>
      <c r="B500" s="60"/>
      <c r="C500" s="60"/>
      <c r="D500" s="59"/>
      <c r="E500" s="59"/>
      <c r="F500" s="60"/>
      <c r="G500" s="60"/>
      <c r="H500" s="60"/>
      <c r="I500" s="60"/>
      <c r="J500" s="60"/>
      <c r="K500" s="59"/>
      <c r="L500" s="59"/>
      <c r="M500" s="61"/>
      <c r="N500" s="59"/>
      <c r="O500" s="59"/>
    </row>
    <row r="501" ht="14.25" customHeight="1">
      <c r="A501" s="59"/>
      <c r="B501" s="60"/>
      <c r="C501" s="60"/>
      <c r="D501" s="59"/>
      <c r="E501" s="59"/>
      <c r="F501" s="60"/>
      <c r="G501" s="60"/>
      <c r="H501" s="60"/>
      <c r="I501" s="60"/>
      <c r="J501" s="60"/>
      <c r="K501" s="59"/>
      <c r="L501" s="59"/>
      <c r="M501" s="61"/>
      <c r="N501" s="59"/>
      <c r="O501" s="59"/>
    </row>
    <row r="502" ht="14.25" customHeight="1">
      <c r="A502" s="59"/>
      <c r="B502" s="60"/>
      <c r="C502" s="60"/>
      <c r="D502" s="59"/>
      <c r="E502" s="59"/>
      <c r="F502" s="60"/>
      <c r="G502" s="60"/>
      <c r="H502" s="60"/>
      <c r="I502" s="60"/>
      <c r="J502" s="60"/>
      <c r="K502" s="59"/>
      <c r="L502" s="59"/>
      <c r="M502" s="61"/>
      <c r="N502" s="59"/>
      <c r="O502" s="59"/>
    </row>
    <row r="503" ht="14.25" customHeight="1">
      <c r="A503" s="59"/>
      <c r="B503" s="60"/>
      <c r="C503" s="60"/>
      <c r="D503" s="59"/>
      <c r="E503" s="59"/>
      <c r="F503" s="60"/>
      <c r="G503" s="60"/>
      <c r="H503" s="60"/>
      <c r="I503" s="60"/>
      <c r="J503" s="60"/>
      <c r="K503" s="59"/>
      <c r="L503" s="59"/>
      <c r="M503" s="61"/>
      <c r="N503" s="59"/>
      <c r="O503" s="59"/>
    </row>
    <row r="504" ht="14.25" customHeight="1">
      <c r="A504" s="59"/>
      <c r="B504" s="60"/>
      <c r="C504" s="60"/>
      <c r="D504" s="59"/>
      <c r="E504" s="59"/>
      <c r="F504" s="60"/>
      <c r="G504" s="60"/>
      <c r="H504" s="60"/>
      <c r="I504" s="60"/>
      <c r="J504" s="60"/>
      <c r="K504" s="59"/>
      <c r="L504" s="59"/>
      <c r="M504" s="61"/>
      <c r="N504" s="59"/>
      <c r="O504" s="59"/>
    </row>
    <row r="505" ht="14.25" customHeight="1">
      <c r="A505" s="59"/>
      <c r="B505" s="60"/>
      <c r="C505" s="60"/>
      <c r="D505" s="59"/>
      <c r="E505" s="59"/>
      <c r="F505" s="60"/>
      <c r="G505" s="60"/>
      <c r="H505" s="60"/>
      <c r="I505" s="60"/>
      <c r="J505" s="60"/>
      <c r="K505" s="59"/>
      <c r="L505" s="59"/>
      <c r="M505" s="61"/>
      <c r="N505" s="59"/>
      <c r="O505" s="59"/>
    </row>
    <row r="506" ht="14.25" customHeight="1">
      <c r="A506" s="59"/>
      <c r="B506" s="60"/>
      <c r="C506" s="60"/>
      <c r="D506" s="59"/>
      <c r="E506" s="59"/>
      <c r="F506" s="60"/>
      <c r="G506" s="60"/>
      <c r="H506" s="60"/>
      <c r="I506" s="60"/>
      <c r="J506" s="60"/>
      <c r="K506" s="59"/>
      <c r="L506" s="59"/>
      <c r="M506" s="61"/>
      <c r="N506" s="59"/>
      <c r="O506" s="59"/>
    </row>
    <row r="507" ht="14.25" customHeight="1">
      <c r="A507" s="59"/>
      <c r="B507" s="60"/>
      <c r="C507" s="60"/>
      <c r="D507" s="59"/>
      <c r="E507" s="59"/>
      <c r="F507" s="60"/>
      <c r="G507" s="60"/>
      <c r="H507" s="60"/>
      <c r="I507" s="60"/>
      <c r="J507" s="60"/>
      <c r="K507" s="59"/>
      <c r="L507" s="59"/>
      <c r="M507" s="61"/>
      <c r="N507" s="59"/>
      <c r="O507" s="59"/>
    </row>
    <row r="508" ht="14.25" customHeight="1">
      <c r="A508" s="59"/>
      <c r="B508" s="60"/>
      <c r="C508" s="60"/>
      <c r="D508" s="59"/>
      <c r="E508" s="59"/>
      <c r="F508" s="60"/>
      <c r="G508" s="60"/>
      <c r="H508" s="60"/>
      <c r="I508" s="60"/>
      <c r="J508" s="60"/>
      <c r="K508" s="59"/>
      <c r="L508" s="59"/>
      <c r="M508" s="61"/>
      <c r="N508" s="59"/>
      <c r="O508" s="59"/>
    </row>
    <row r="509" ht="14.25" customHeight="1">
      <c r="A509" s="59"/>
      <c r="B509" s="60"/>
      <c r="C509" s="60"/>
      <c r="D509" s="59"/>
      <c r="E509" s="59"/>
      <c r="F509" s="60"/>
      <c r="G509" s="60"/>
      <c r="H509" s="60"/>
      <c r="I509" s="60"/>
      <c r="J509" s="60"/>
      <c r="K509" s="59"/>
      <c r="L509" s="59"/>
      <c r="M509" s="61"/>
      <c r="N509" s="59"/>
      <c r="O509" s="59"/>
    </row>
    <row r="510" ht="14.25" customHeight="1">
      <c r="A510" s="59"/>
      <c r="B510" s="60"/>
      <c r="C510" s="60"/>
      <c r="D510" s="59"/>
      <c r="E510" s="59"/>
      <c r="F510" s="60"/>
      <c r="G510" s="60"/>
      <c r="H510" s="60"/>
      <c r="I510" s="60"/>
      <c r="J510" s="60"/>
      <c r="K510" s="59"/>
      <c r="L510" s="59"/>
      <c r="M510" s="61"/>
      <c r="N510" s="59"/>
      <c r="O510" s="59"/>
    </row>
    <row r="511" ht="14.25" customHeight="1">
      <c r="A511" s="59"/>
      <c r="B511" s="60"/>
      <c r="C511" s="60"/>
      <c r="D511" s="59"/>
      <c r="E511" s="59"/>
      <c r="F511" s="60"/>
      <c r="G511" s="60"/>
      <c r="H511" s="60"/>
      <c r="I511" s="60"/>
      <c r="J511" s="60"/>
      <c r="K511" s="59"/>
      <c r="L511" s="59"/>
      <c r="M511" s="61"/>
      <c r="N511" s="59"/>
      <c r="O511" s="59"/>
    </row>
    <row r="512" ht="14.25" customHeight="1">
      <c r="A512" s="59"/>
      <c r="B512" s="60"/>
      <c r="C512" s="60"/>
      <c r="D512" s="59"/>
      <c r="E512" s="59"/>
      <c r="F512" s="60"/>
      <c r="G512" s="60"/>
      <c r="H512" s="60"/>
      <c r="I512" s="60"/>
      <c r="J512" s="60"/>
      <c r="K512" s="59"/>
      <c r="L512" s="59"/>
      <c r="M512" s="61"/>
      <c r="N512" s="59"/>
      <c r="O512" s="59"/>
    </row>
    <row r="513" ht="14.25" customHeight="1">
      <c r="A513" s="59"/>
      <c r="B513" s="60"/>
      <c r="C513" s="60"/>
      <c r="D513" s="59"/>
      <c r="E513" s="59"/>
      <c r="F513" s="60"/>
      <c r="G513" s="60"/>
      <c r="H513" s="60"/>
      <c r="I513" s="60"/>
      <c r="J513" s="60"/>
      <c r="K513" s="59"/>
      <c r="L513" s="59"/>
      <c r="M513" s="61"/>
      <c r="N513" s="59"/>
      <c r="O513" s="59"/>
    </row>
    <row r="514" ht="14.25" customHeight="1">
      <c r="A514" s="59"/>
      <c r="B514" s="60"/>
      <c r="C514" s="60"/>
      <c r="D514" s="59"/>
      <c r="E514" s="59"/>
      <c r="F514" s="60"/>
      <c r="G514" s="60"/>
      <c r="H514" s="60"/>
      <c r="I514" s="60"/>
      <c r="J514" s="60"/>
      <c r="K514" s="59"/>
      <c r="L514" s="59"/>
      <c r="M514" s="61"/>
      <c r="N514" s="59"/>
      <c r="O514" s="59"/>
    </row>
    <row r="515" ht="14.25" customHeight="1">
      <c r="A515" s="59"/>
      <c r="B515" s="60"/>
      <c r="C515" s="60"/>
      <c r="D515" s="59"/>
      <c r="E515" s="59"/>
      <c r="F515" s="60"/>
      <c r="G515" s="60"/>
      <c r="H515" s="60"/>
      <c r="I515" s="60"/>
      <c r="J515" s="60"/>
      <c r="K515" s="59"/>
      <c r="L515" s="59"/>
      <c r="M515" s="61"/>
      <c r="N515" s="59"/>
      <c r="O515" s="59"/>
    </row>
    <row r="516" ht="14.25" customHeight="1">
      <c r="A516" s="59"/>
      <c r="B516" s="60"/>
      <c r="C516" s="60"/>
      <c r="D516" s="59"/>
      <c r="E516" s="59"/>
      <c r="F516" s="60"/>
      <c r="G516" s="60"/>
      <c r="H516" s="60"/>
      <c r="I516" s="60"/>
      <c r="J516" s="60"/>
      <c r="K516" s="59"/>
      <c r="L516" s="59"/>
      <c r="M516" s="61"/>
      <c r="N516" s="59"/>
      <c r="O516" s="59"/>
    </row>
    <row r="517" ht="14.25" customHeight="1">
      <c r="A517" s="59"/>
      <c r="B517" s="60"/>
      <c r="C517" s="60"/>
      <c r="D517" s="59"/>
      <c r="E517" s="59"/>
      <c r="F517" s="60"/>
      <c r="G517" s="60"/>
      <c r="H517" s="60"/>
      <c r="I517" s="60"/>
      <c r="J517" s="60"/>
      <c r="K517" s="59"/>
      <c r="L517" s="59"/>
      <c r="M517" s="61"/>
      <c r="N517" s="59"/>
      <c r="O517" s="59"/>
    </row>
    <row r="518" ht="14.25" customHeight="1">
      <c r="A518" s="59"/>
      <c r="B518" s="60"/>
      <c r="C518" s="60"/>
      <c r="D518" s="59"/>
      <c r="E518" s="59"/>
      <c r="F518" s="60"/>
      <c r="G518" s="60"/>
      <c r="H518" s="60"/>
      <c r="I518" s="60"/>
      <c r="J518" s="60"/>
      <c r="K518" s="59"/>
      <c r="L518" s="59"/>
      <c r="M518" s="61"/>
      <c r="N518" s="59"/>
      <c r="O518" s="59"/>
    </row>
    <row r="519" ht="14.25" customHeight="1">
      <c r="A519" s="59"/>
      <c r="B519" s="60"/>
      <c r="C519" s="60"/>
      <c r="D519" s="59"/>
      <c r="E519" s="59"/>
      <c r="F519" s="60"/>
      <c r="G519" s="60"/>
      <c r="H519" s="60"/>
      <c r="I519" s="60"/>
      <c r="J519" s="60"/>
      <c r="K519" s="59"/>
      <c r="L519" s="59"/>
      <c r="M519" s="61"/>
      <c r="N519" s="59"/>
      <c r="O519" s="59"/>
    </row>
    <row r="520" ht="14.25" customHeight="1">
      <c r="A520" s="59"/>
      <c r="B520" s="60"/>
      <c r="C520" s="60"/>
      <c r="D520" s="59"/>
      <c r="E520" s="59"/>
      <c r="F520" s="60"/>
      <c r="G520" s="60"/>
      <c r="H520" s="60"/>
      <c r="I520" s="60"/>
      <c r="J520" s="60"/>
      <c r="K520" s="59"/>
      <c r="L520" s="59"/>
      <c r="M520" s="61"/>
      <c r="N520" s="59"/>
      <c r="O520" s="59"/>
    </row>
    <row r="521" ht="14.25" customHeight="1">
      <c r="A521" s="59"/>
      <c r="B521" s="60"/>
      <c r="C521" s="60"/>
      <c r="D521" s="59"/>
      <c r="E521" s="59"/>
      <c r="F521" s="60"/>
      <c r="G521" s="60"/>
      <c r="H521" s="60"/>
      <c r="I521" s="60"/>
      <c r="J521" s="60"/>
      <c r="K521" s="59"/>
      <c r="L521" s="59"/>
      <c r="M521" s="61"/>
      <c r="N521" s="59"/>
      <c r="O521" s="59"/>
    </row>
    <row r="522" ht="14.25" customHeight="1">
      <c r="A522" s="59"/>
      <c r="B522" s="60"/>
      <c r="C522" s="60"/>
      <c r="D522" s="59"/>
      <c r="E522" s="59"/>
      <c r="F522" s="60"/>
      <c r="G522" s="60"/>
      <c r="H522" s="60"/>
      <c r="I522" s="60"/>
      <c r="J522" s="60"/>
      <c r="K522" s="59"/>
      <c r="L522" s="59"/>
      <c r="M522" s="61"/>
      <c r="N522" s="59"/>
      <c r="O522" s="59"/>
    </row>
    <row r="523" ht="14.25" customHeight="1">
      <c r="A523" s="59"/>
      <c r="B523" s="60"/>
      <c r="C523" s="60"/>
      <c r="D523" s="59"/>
      <c r="E523" s="59"/>
      <c r="F523" s="60"/>
      <c r="G523" s="60"/>
      <c r="H523" s="60"/>
      <c r="I523" s="60"/>
      <c r="J523" s="60"/>
      <c r="K523" s="59"/>
      <c r="L523" s="59"/>
      <c r="M523" s="61"/>
      <c r="N523" s="59"/>
      <c r="O523" s="59"/>
    </row>
    <row r="524" ht="14.25" customHeight="1">
      <c r="A524" s="59"/>
      <c r="B524" s="60"/>
      <c r="C524" s="60"/>
      <c r="D524" s="59"/>
      <c r="E524" s="59"/>
      <c r="F524" s="60"/>
      <c r="G524" s="60"/>
      <c r="H524" s="60"/>
      <c r="I524" s="60"/>
      <c r="J524" s="60"/>
      <c r="K524" s="59"/>
      <c r="L524" s="59"/>
      <c r="M524" s="61"/>
      <c r="N524" s="59"/>
      <c r="O524" s="59"/>
    </row>
    <row r="525" ht="14.25" customHeight="1">
      <c r="A525" s="59"/>
      <c r="B525" s="60"/>
      <c r="C525" s="60"/>
      <c r="D525" s="59"/>
      <c r="E525" s="59"/>
      <c r="F525" s="60"/>
      <c r="G525" s="60"/>
      <c r="H525" s="60"/>
      <c r="I525" s="60"/>
      <c r="J525" s="60"/>
      <c r="K525" s="59"/>
      <c r="L525" s="59"/>
      <c r="M525" s="61"/>
      <c r="N525" s="59"/>
      <c r="O525" s="59"/>
    </row>
    <row r="526" ht="14.25" customHeight="1">
      <c r="A526" s="59"/>
      <c r="B526" s="60"/>
      <c r="C526" s="60"/>
      <c r="D526" s="59"/>
      <c r="E526" s="59"/>
      <c r="F526" s="60"/>
      <c r="G526" s="60"/>
      <c r="H526" s="60"/>
      <c r="I526" s="60"/>
      <c r="J526" s="60"/>
      <c r="K526" s="59"/>
      <c r="L526" s="59"/>
      <c r="M526" s="61"/>
      <c r="N526" s="59"/>
      <c r="O526" s="59"/>
    </row>
    <row r="527" ht="14.25" customHeight="1">
      <c r="A527" s="59"/>
      <c r="B527" s="60"/>
      <c r="C527" s="60"/>
      <c r="D527" s="59"/>
      <c r="E527" s="59"/>
      <c r="F527" s="60"/>
      <c r="G527" s="60"/>
      <c r="H527" s="60"/>
      <c r="I527" s="60"/>
      <c r="J527" s="60"/>
      <c r="K527" s="59"/>
      <c r="L527" s="59"/>
      <c r="M527" s="61"/>
      <c r="N527" s="59"/>
      <c r="O527" s="59"/>
    </row>
    <row r="528" ht="14.25" customHeight="1">
      <c r="A528" s="59"/>
      <c r="B528" s="60"/>
      <c r="C528" s="60"/>
      <c r="D528" s="59"/>
      <c r="E528" s="59"/>
      <c r="F528" s="60"/>
      <c r="G528" s="60"/>
      <c r="H528" s="60"/>
      <c r="I528" s="60"/>
      <c r="J528" s="60"/>
      <c r="K528" s="59"/>
      <c r="L528" s="59"/>
      <c r="M528" s="61"/>
      <c r="N528" s="59"/>
      <c r="O528" s="59"/>
    </row>
    <row r="529" ht="14.25" customHeight="1">
      <c r="A529" s="59"/>
      <c r="B529" s="60"/>
      <c r="C529" s="60"/>
      <c r="D529" s="59"/>
      <c r="E529" s="59"/>
      <c r="F529" s="60"/>
      <c r="G529" s="60"/>
      <c r="H529" s="60"/>
      <c r="I529" s="60"/>
      <c r="J529" s="60"/>
      <c r="K529" s="59"/>
      <c r="L529" s="59"/>
      <c r="M529" s="61"/>
      <c r="N529" s="59"/>
      <c r="O529" s="59"/>
    </row>
    <row r="530" ht="14.25" customHeight="1">
      <c r="A530" s="59"/>
      <c r="B530" s="60"/>
      <c r="C530" s="60"/>
      <c r="D530" s="59"/>
      <c r="E530" s="59"/>
      <c r="F530" s="60"/>
      <c r="G530" s="60"/>
      <c r="H530" s="60"/>
      <c r="I530" s="60"/>
      <c r="J530" s="60"/>
      <c r="K530" s="59"/>
      <c r="L530" s="59"/>
      <c r="M530" s="61"/>
      <c r="N530" s="59"/>
      <c r="O530" s="59"/>
    </row>
    <row r="531" ht="14.25" customHeight="1">
      <c r="A531" s="59"/>
      <c r="B531" s="60"/>
      <c r="C531" s="60"/>
      <c r="D531" s="59"/>
      <c r="E531" s="59"/>
      <c r="F531" s="60"/>
      <c r="G531" s="60"/>
      <c r="H531" s="60"/>
      <c r="I531" s="60"/>
      <c r="J531" s="60"/>
      <c r="K531" s="59"/>
      <c r="L531" s="59"/>
      <c r="M531" s="61"/>
      <c r="N531" s="59"/>
      <c r="O531" s="59"/>
    </row>
    <row r="532" ht="14.25" customHeight="1">
      <c r="A532" s="59"/>
      <c r="B532" s="60"/>
      <c r="C532" s="60"/>
      <c r="D532" s="59"/>
      <c r="E532" s="59"/>
      <c r="F532" s="60"/>
      <c r="G532" s="60"/>
      <c r="H532" s="60"/>
      <c r="I532" s="60"/>
      <c r="J532" s="60"/>
      <c r="K532" s="59"/>
      <c r="L532" s="59"/>
      <c r="M532" s="61"/>
      <c r="N532" s="59"/>
      <c r="O532" s="59"/>
    </row>
    <row r="533" ht="14.25" customHeight="1">
      <c r="A533" s="59"/>
      <c r="B533" s="60"/>
      <c r="C533" s="60"/>
      <c r="D533" s="59"/>
      <c r="E533" s="59"/>
      <c r="F533" s="60"/>
      <c r="G533" s="60"/>
      <c r="H533" s="60"/>
      <c r="I533" s="60"/>
      <c r="J533" s="60"/>
      <c r="K533" s="59"/>
      <c r="L533" s="59"/>
      <c r="M533" s="61"/>
      <c r="N533" s="59"/>
      <c r="O533" s="59"/>
    </row>
    <row r="534" ht="14.25" customHeight="1">
      <c r="A534" s="59"/>
      <c r="B534" s="60"/>
      <c r="C534" s="60"/>
      <c r="D534" s="59"/>
      <c r="E534" s="59"/>
      <c r="F534" s="60"/>
      <c r="G534" s="60"/>
      <c r="H534" s="60"/>
      <c r="I534" s="60"/>
      <c r="J534" s="60"/>
      <c r="K534" s="59"/>
      <c r="L534" s="59"/>
      <c r="M534" s="61"/>
      <c r="N534" s="59"/>
      <c r="O534" s="59"/>
    </row>
    <row r="535" ht="14.25" customHeight="1">
      <c r="A535" s="59"/>
      <c r="B535" s="60"/>
      <c r="C535" s="60"/>
      <c r="D535" s="59"/>
      <c r="E535" s="59"/>
      <c r="F535" s="60"/>
      <c r="G535" s="60"/>
      <c r="H535" s="60"/>
      <c r="I535" s="60"/>
      <c r="J535" s="60"/>
      <c r="K535" s="59"/>
      <c r="L535" s="59"/>
      <c r="M535" s="61"/>
      <c r="N535" s="59"/>
      <c r="O535" s="59"/>
    </row>
    <row r="536" ht="14.25" customHeight="1">
      <c r="A536" s="59"/>
      <c r="B536" s="60"/>
      <c r="C536" s="60"/>
      <c r="D536" s="59"/>
      <c r="E536" s="59"/>
      <c r="F536" s="60"/>
      <c r="G536" s="60"/>
      <c r="H536" s="60"/>
      <c r="I536" s="60"/>
      <c r="J536" s="60"/>
      <c r="K536" s="59"/>
      <c r="L536" s="59"/>
      <c r="M536" s="61"/>
      <c r="N536" s="59"/>
      <c r="O536" s="59"/>
    </row>
    <row r="537" ht="14.25" customHeight="1">
      <c r="A537" s="59"/>
      <c r="B537" s="60"/>
      <c r="C537" s="60"/>
      <c r="D537" s="59"/>
      <c r="E537" s="59"/>
      <c r="F537" s="60"/>
      <c r="G537" s="60"/>
      <c r="H537" s="60"/>
      <c r="I537" s="60"/>
      <c r="J537" s="60"/>
      <c r="K537" s="59"/>
      <c r="L537" s="59"/>
      <c r="M537" s="61"/>
      <c r="N537" s="59"/>
      <c r="O537" s="59"/>
    </row>
    <row r="538" ht="14.25" customHeight="1">
      <c r="A538" s="59"/>
      <c r="B538" s="60"/>
      <c r="C538" s="60"/>
      <c r="D538" s="59"/>
      <c r="E538" s="59"/>
      <c r="F538" s="60"/>
      <c r="G538" s="60"/>
      <c r="H538" s="60"/>
      <c r="I538" s="60"/>
      <c r="J538" s="60"/>
      <c r="K538" s="59"/>
      <c r="L538" s="59"/>
      <c r="M538" s="61"/>
      <c r="N538" s="59"/>
      <c r="O538" s="59"/>
    </row>
    <row r="539" ht="14.25" customHeight="1">
      <c r="A539" s="59"/>
      <c r="B539" s="60"/>
      <c r="C539" s="60"/>
      <c r="D539" s="59"/>
      <c r="E539" s="59"/>
      <c r="F539" s="60"/>
      <c r="G539" s="60"/>
      <c r="H539" s="60"/>
      <c r="I539" s="60"/>
      <c r="J539" s="60"/>
      <c r="K539" s="59"/>
      <c r="L539" s="59"/>
      <c r="M539" s="61"/>
      <c r="N539" s="59"/>
      <c r="O539" s="59"/>
    </row>
    <row r="540" ht="14.25" customHeight="1">
      <c r="A540" s="59"/>
      <c r="B540" s="60"/>
      <c r="C540" s="60"/>
      <c r="D540" s="59"/>
      <c r="E540" s="59"/>
      <c r="F540" s="60"/>
      <c r="G540" s="60"/>
      <c r="H540" s="60"/>
      <c r="I540" s="60"/>
      <c r="J540" s="60"/>
      <c r="K540" s="59"/>
      <c r="L540" s="59"/>
      <c r="M540" s="61"/>
      <c r="N540" s="59"/>
      <c r="O540" s="59"/>
    </row>
    <row r="541" ht="14.25" customHeight="1">
      <c r="A541" s="59"/>
      <c r="B541" s="60"/>
      <c r="C541" s="60"/>
      <c r="D541" s="59"/>
      <c r="E541" s="59"/>
      <c r="F541" s="60"/>
      <c r="G541" s="60"/>
      <c r="H541" s="60"/>
      <c r="I541" s="60"/>
      <c r="J541" s="60"/>
      <c r="K541" s="59"/>
      <c r="L541" s="59"/>
      <c r="M541" s="61"/>
      <c r="N541" s="59"/>
      <c r="O541" s="59"/>
    </row>
    <row r="542" ht="14.25" customHeight="1">
      <c r="A542" s="59"/>
      <c r="B542" s="60"/>
      <c r="C542" s="60"/>
      <c r="D542" s="59"/>
      <c r="E542" s="59"/>
      <c r="F542" s="60"/>
      <c r="G542" s="60"/>
      <c r="H542" s="60"/>
      <c r="I542" s="60"/>
      <c r="J542" s="60"/>
      <c r="K542" s="59"/>
      <c r="L542" s="59"/>
      <c r="M542" s="61"/>
      <c r="N542" s="59"/>
      <c r="O542" s="59"/>
    </row>
    <row r="543" ht="14.25" customHeight="1">
      <c r="A543" s="59"/>
      <c r="B543" s="60"/>
      <c r="C543" s="60"/>
      <c r="D543" s="59"/>
      <c r="E543" s="59"/>
      <c r="F543" s="60"/>
      <c r="G543" s="60"/>
      <c r="H543" s="60"/>
      <c r="I543" s="60"/>
      <c r="J543" s="60"/>
      <c r="K543" s="59"/>
      <c r="L543" s="59"/>
      <c r="M543" s="61"/>
      <c r="N543" s="59"/>
      <c r="O543" s="59"/>
    </row>
    <row r="544" ht="14.25" customHeight="1">
      <c r="A544" s="59"/>
      <c r="B544" s="60"/>
      <c r="C544" s="60"/>
      <c r="D544" s="59"/>
      <c r="E544" s="59"/>
      <c r="F544" s="60"/>
      <c r="G544" s="60"/>
      <c r="H544" s="60"/>
      <c r="I544" s="60"/>
      <c r="J544" s="60"/>
      <c r="K544" s="59"/>
      <c r="L544" s="59"/>
      <c r="M544" s="61"/>
      <c r="N544" s="59"/>
      <c r="O544" s="59"/>
    </row>
    <row r="545" ht="14.25" customHeight="1">
      <c r="A545" s="59"/>
      <c r="B545" s="60"/>
      <c r="C545" s="60"/>
      <c r="D545" s="59"/>
      <c r="E545" s="59"/>
      <c r="F545" s="60"/>
      <c r="G545" s="60"/>
      <c r="H545" s="60"/>
      <c r="I545" s="60"/>
      <c r="J545" s="60"/>
      <c r="K545" s="59"/>
      <c r="L545" s="59"/>
      <c r="M545" s="61"/>
      <c r="N545" s="59"/>
      <c r="O545" s="59"/>
    </row>
    <row r="546" ht="14.25" customHeight="1">
      <c r="A546" s="59"/>
      <c r="B546" s="60"/>
      <c r="C546" s="60"/>
      <c r="D546" s="59"/>
      <c r="E546" s="59"/>
      <c r="F546" s="60"/>
      <c r="G546" s="60"/>
      <c r="H546" s="60"/>
      <c r="I546" s="60"/>
      <c r="J546" s="60"/>
      <c r="K546" s="59"/>
      <c r="L546" s="59"/>
      <c r="M546" s="61"/>
      <c r="N546" s="59"/>
      <c r="O546" s="59"/>
    </row>
    <row r="547" ht="14.25" customHeight="1">
      <c r="A547" s="59"/>
      <c r="B547" s="60"/>
      <c r="C547" s="60"/>
      <c r="D547" s="59"/>
      <c r="E547" s="59"/>
      <c r="F547" s="60"/>
      <c r="G547" s="60"/>
      <c r="H547" s="60"/>
      <c r="I547" s="60"/>
      <c r="J547" s="60"/>
      <c r="K547" s="59"/>
      <c r="L547" s="59"/>
      <c r="M547" s="61"/>
      <c r="N547" s="59"/>
      <c r="O547" s="59"/>
    </row>
    <row r="548" ht="14.25" customHeight="1">
      <c r="A548" s="59"/>
      <c r="B548" s="60"/>
      <c r="C548" s="60"/>
      <c r="D548" s="59"/>
      <c r="E548" s="59"/>
      <c r="F548" s="60"/>
      <c r="G548" s="60"/>
      <c r="H548" s="60"/>
      <c r="I548" s="60"/>
      <c r="J548" s="60"/>
      <c r="K548" s="59"/>
      <c r="L548" s="59"/>
      <c r="M548" s="61"/>
      <c r="N548" s="59"/>
      <c r="O548" s="59"/>
    </row>
    <row r="549" ht="14.25" customHeight="1">
      <c r="A549" s="59"/>
      <c r="B549" s="60"/>
      <c r="C549" s="60"/>
      <c r="D549" s="59"/>
      <c r="E549" s="59"/>
      <c r="F549" s="60"/>
      <c r="G549" s="60"/>
      <c r="H549" s="60"/>
      <c r="I549" s="60"/>
      <c r="J549" s="60"/>
      <c r="K549" s="59"/>
      <c r="L549" s="59"/>
      <c r="M549" s="61"/>
      <c r="N549" s="59"/>
      <c r="O549" s="59"/>
    </row>
    <row r="550" ht="14.25" customHeight="1">
      <c r="A550" s="59"/>
      <c r="B550" s="60"/>
      <c r="C550" s="60"/>
      <c r="D550" s="59"/>
      <c r="E550" s="59"/>
      <c r="F550" s="60"/>
      <c r="G550" s="60"/>
      <c r="H550" s="60"/>
      <c r="I550" s="60"/>
      <c r="J550" s="60"/>
      <c r="K550" s="59"/>
      <c r="L550" s="59"/>
      <c r="M550" s="61"/>
      <c r="N550" s="59"/>
      <c r="O550" s="59"/>
    </row>
    <row r="551" ht="14.25" customHeight="1">
      <c r="A551" s="59"/>
      <c r="B551" s="60"/>
      <c r="C551" s="60"/>
      <c r="D551" s="59"/>
      <c r="E551" s="59"/>
      <c r="F551" s="60"/>
      <c r="G551" s="60"/>
      <c r="H551" s="60"/>
      <c r="I551" s="60"/>
      <c r="J551" s="60"/>
      <c r="K551" s="59"/>
      <c r="L551" s="59"/>
      <c r="M551" s="61"/>
      <c r="N551" s="59"/>
      <c r="O551" s="59"/>
    </row>
    <row r="552" ht="14.25" customHeight="1">
      <c r="A552" s="59"/>
      <c r="B552" s="60"/>
      <c r="C552" s="60"/>
      <c r="D552" s="59"/>
      <c r="E552" s="59"/>
      <c r="F552" s="60"/>
      <c r="G552" s="60"/>
      <c r="H552" s="60"/>
      <c r="I552" s="60"/>
      <c r="J552" s="60"/>
      <c r="K552" s="59"/>
      <c r="L552" s="59"/>
      <c r="M552" s="61"/>
      <c r="N552" s="59"/>
      <c r="O552" s="59"/>
    </row>
    <row r="553" ht="14.25" customHeight="1">
      <c r="A553" s="59"/>
      <c r="B553" s="60"/>
      <c r="C553" s="60"/>
      <c r="D553" s="59"/>
      <c r="E553" s="59"/>
      <c r="F553" s="60"/>
      <c r="G553" s="60"/>
      <c r="H553" s="60"/>
      <c r="I553" s="60"/>
      <c r="J553" s="60"/>
      <c r="K553" s="59"/>
      <c r="L553" s="59"/>
      <c r="M553" s="61"/>
      <c r="N553" s="59"/>
      <c r="O553" s="59"/>
    </row>
    <row r="554" ht="14.25" customHeight="1">
      <c r="A554" s="59"/>
      <c r="B554" s="60"/>
      <c r="C554" s="60"/>
      <c r="D554" s="59"/>
      <c r="E554" s="59"/>
      <c r="F554" s="60"/>
      <c r="G554" s="60"/>
      <c r="H554" s="60"/>
      <c r="I554" s="60"/>
      <c r="J554" s="60"/>
      <c r="K554" s="59"/>
      <c r="L554" s="59"/>
      <c r="M554" s="61"/>
      <c r="N554" s="59"/>
      <c r="O554" s="59"/>
    </row>
    <row r="555" ht="14.25" customHeight="1">
      <c r="A555" s="59"/>
      <c r="B555" s="60"/>
      <c r="C555" s="60"/>
      <c r="D555" s="59"/>
      <c r="E555" s="59"/>
      <c r="F555" s="60"/>
      <c r="G555" s="60"/>
      <c r="H555" s="60"/>
      <c r="I555" s="60"/>
      <c r="J555" s="60"/>
      <c r="K555" s="59"/>
      <c r="L555" s="59"/>
      <c r="M555" s="61"/>
      <c r="N555" s="59"/>
      <c r="O555" s="59"/>
    </row>
    <row r="556" ht="14.25" customHeight="1">
      <c r="A556" s="59"/>
      <c r="B556" s="60"/>
      <c r="C556" s="60"/>
      <c r="D556" s="59"/>
      <c r="E556" s="59"/>
      <c r="F556" s="60"/>
      <c r="G556" s="60"/>
      <c r="H556" s="60"/>
      <c r="I556" s="60"/>
      <c r="J556" s="60"/>
      <c r="K556" s="59"/>
      <c r="L556" s="59"/>
      <c r="M556" s="61"/>
      <c r="N556" s="59"/>
      <c r="O556" s="59"/>
    </row>
    <row r="557" ht="14.25" customHeight="1">
      <c r="A557" s="59"/>
      <c r="B557" s="60"/>
      <c r="C557" s="60"/>
      <c r="D557" s="59"/>
      <c r="E557" s="59"/>
      <c r="F557" s="60"/>
      <c r="G557" s="60"/>
      <c r="H557" s="60"/>
      <c r="I557" s="60"/>
      <c r="J557" s="60"/>
      <c r="K557" s="59"/>
      <c r="L557" s="59"/>
      <c r="M557" s="61"/>
      <c r="N557" s="59"/>
      <c r="O557" s="59"/>
    </row>
    <row r="558" ht="14.25" customHeight="1">
      <c r="A558" s="59"/>
      <c r="B558" s="60"/>
      <c r="C558" s="60"/>
      <c r="D558" s="59"/>
      <c r="E558" s="59"/>
      <c r="F558" s="60"/>
      <c r="G558" s="60"/>
      <c r="H558" s="60"/>
      <c r="I558" s="60"/>
      <c r="J558" s="60"/>
      <c r="K558" s="59"/>
      <c r="L558" s="59"/>
      <c r="M558" s="61"/>
      <c r="N558" s="59"/>
      <c r="O558" s="59"/>
    </row>
    <row r="559" ht="14.25" customHeight="1">
      <c r="A559" s="59"/>
      <c r="B559" s="60"/>
      <c r="C559" s="60"/>
      <c r="D559" s="59"/>
      <c r="E559" s="59"/>
      <c r="F559" s="60"/>
      <c r="G559" s="60"/>
      <c r="H559" s="60"/>
      <c r="I559" s="60"/>
      <c r="J559" s="60"/>
      <c r="K559" s="59"/>
      <c r="L559" s="59"/>
      <c r="M559" s="61"/>
      <c r="N559" s="59"/>
      <c r="O559" s="59"/>
    </row>
    <row r="560" ht="14.25" customHeight="1">
      <c r="A560" s="59"/>
      <c r="B560" s="60"/>
      <c r="C560" s="60"/>
      <c r="D560" s="59"/>
      <c r="E560" s="59"/>
      <c r="F560" s="60"/>
      <c r="G560" s="60"/>
      <c r="H560" s="60"/>
      <c r="I560" s="60"/>
      <c r="J560" s="60"/>
      <c r="K560" s="59"/>
      <c r="L560" s="59"/>
      <c r="M560" s="61"/>
      <c r="N560" s="59"/>
      <c r="O560" s="59"/>
    </row>
    <row r="561" ht="14.25" customHeight="1">
      <c r="A561" s="59"/>
      <c r="B561" s="60"/>
      <c r="C561" s="60"/>
      <c r="D561" s="59"/>
      <c r="E561" s="59"/>
      <c r="F561" s="60"/>
      <c r="G561" s="60"/>
      <c r="H561" s="60"/>
      <c r="I561" s="60"/>
      <c r="J561" s="60"/>
      <c r="K561" s="59"/>
      <c r="L561" s="59"/>
      <c r="M561" s="61"/>
      <c r="N561" s="59"/>
      <c r="O561" s="59"/>
    </row>
    <row r="562" ht="14.25" customHeight="1">
      <c r="A562" s="59"/>
      <c r="B562" s="60"/>
      <c r="C562" s="60"/>
      <c r="D562" s="59"/>
      <c r="E562" s="59"/>
      <c r="F562" s="60"/>
      <c r="G562" s="60"/>
      <c r="H562" s="60"/>
      <c r="I562" s="60"/>
      <c r="J562" s="60"/>
      <c r="K562" s="59"/>
      <c r="L562" s="59"/>
      <c r="M562" s="61"/>
      <c r="N562" s="59"/>
      <c r="O562" s="59"/>
    </row>
    <row r="563" ht="14.25" customHeight="1">
      <c r="A563" s="59"/>
      <c r="B563" s="60"/>
      <c r="C563" s="60"/>
      <c r="D563" s="59"/>
      <c r="E563" s="59"/>
      <c r="F563" s="60"/>
      <c r="G563" s="60"/>
      <c r="H563" s="60"/>
      <c r="I563" s="60"/>
      <c r="J563" s="60"/>
      <c r="K563" s="59"/>
      <c r="L563" s="59"/>
      <c r="M563" s="61"/>
      <c r="N563" s="59"/>
      <c r="O563" s="59"/>
    </row>
    <row r="564" ht="14.25" customHeight="1">
      <c r="A564" s="59"/>
      <c r="B564" s="60"/>
      <c r="C564" s="60"/>
      <c r="D564" s="59"/>
      <c r="E564" s="59"/>
      <c r="F564" s="60"/>
      <c r="G564" s="60"/>
      <c r="H564" s="60"/>
      <c r="I564" s="60"/>
      <c r="J564" s="60"/>
      <c r="K564" s="59"/>
      <c r="L564" s="59"/>
      <c r="M564" s="61"/>
      <c r="N564" s="59"/>
      <c r="O564" s="59"/>
    </row>
    <row r="565" ht="14.25" customHeight="1">
      <c r="A565" s="59"/>
      <c r="B565" s="60"/>
      <c r="C565" s="60"/>
      <c r="D565" s="59"/>
      <c r="E565" s="59"/>
      <c r="F565" s="60"/>
      <c r="G565" s="60"/>
      <c r="H565" s="60"/>
      <c r="I565" s="60"/>
      <c r="J565" s="60"/>
      <c r="K565" s="59"/>
      <c r="L565" s="59"/>
      <c r="M565" s="61"/>
      <c r="N565" s="59"/>
      <c r="O565" s="59"/>
    </row>
    <row r="566" ht="14.25" customHeight="1">
      <c r="A566" s="59"/>
      <c r="B566" s="60"/>
      <c r="C566" s="60"/>
      <c r="D566" s="59"/>
      <c r="E566" s="59"/>
      <c r="F566" s="60"/>
      <c r="G566" s="60"/>
      <c r="H566" s="60"/>
      <c r="I566" s="60"/>
      <c r="J566" s="60"/>
      <c r="K566" s="59"/>
      <c r="L566" s="59"/>
      <c r="M566" s="61"/>
      <c r="N566" s="59"/>
      <c r="O566" s="59"/>
    </row>
    <row r="567" ht="14.25" customHeight="1">
      <c r="A567" s="59"/>
      <c r="B567" s="60"/>
      <c r="C567" s="60"/>
      <c r="D567" s="59"/>
      <c r="E567" s="59"/>
      <c r="F567" s="60"/>
      <c r="G567" s="60"/>
      <c r="H567" s="60"/>
      <c r="I567" s="60"/>
      <c r="J567" s="60"/>
      <c r="K567" s="59"/>
      <c r="L567" s="59"/>
      <c r="M567" s="61"/>
      <c r="N567" s="59"/>
      <c r="O567" s="59"/>
    </row>
    <row r="568" ht="14.25" customHeight="1">
      <c r="A568" s="59"/>
      <c r="B568" s="60"/>
      <c r="C568" s="60"/>
      <c r="D568" s="59"/>
      <c r="E568" s="59"/>
      <c r="F568" s="60"/>
      <c r="G568" s="60"/>
      <c r="H568" s="60"/>
      <c r="I568" s="60"/>
      <c r="J568" s="60"/>
      <c r="K568" s="59"/>
      <c r="L568" s="59"/>
      <c r="M568" s="61"/>
      <c r="N568" s="59"/>
      <c r="O568" s="59"/>
    </row>
    <row r="569" ht="14.25" customHeight="1">
      <c r="A569" s="59"/>
      <c r="B569" s="60"/>
      <c r="C569" s="60"/>
      <c r="D569" s="59"/>
      <c r="E569" s="59"/>
      <c r="F569" s="60"/>
      <c r="G569" s="60"/>
      <c r="H569" s="60"/>
      <c r="I569" s="60"/>
      <c r="J569" s="60"/>
      <c r="K569" s="59"/>
      <c r="L569" s="59"/>
      <c r="M569" s="61"/>
      <c r="N569" s="59"/>
      <c r="O569" s="59"/>
    </row>
    <row r="570" ht="14.25" customHeight="1">
      <c r="A570" s="59"/>
      <c r="B570" s="60"/>
      <c r="C570" s="60"/>
      <c r="D570" s="59"/>
      <c r="E570" s="59"/>
      <c r="F570" s="60"/>
      <c r="G570" s="60"/>
      <c r="H570" s="60"/>
      <c r="I570" s="60"/>
      <c r="J570" s="60"/>
      <c r="K570" s="59"/>
      <c r="L570" s="59"/>
      <c r="M570" s="61"/>
      <c r="N570" s="59"/>
      <c r="O570" s="59"/>
    </row>
    <row r="571" ht="14.25" customHeight="1">
      <c r="A571" s="59"/>
      <c r="B571" s="60"/>
      <c r="C571" s="60"/>
      <c r="D571" s="59"/>
      <c r="E571" s="59"/>
      <c r="F571" s="60"/>
      <c r="G571" s="60"/>
      <c r="H571" s="60"/>
      <c r="I571" s="60"/>
      <c r="J571" s="60"/>
      <c r="K571" s="59"/>
      <c r="L571" s="59"/>
      <c r="M571" s="61"/>
      <c r="N571" s="59"/>
      <c r="O571" s="59"/>
    </row>
    <row r="572" ht="14.25" customHeight="1">
      <c r="A572" s="59"/>
      <c r="B572" s="60"/>
      <c r="C572" s="60"/>
      <c r="D572" s="59"/>
      <c r="E572" s="59"/>
      <c r="F572" s="60"/>
      <c r="G572" s="60"/>
      <c r="H572" s="60"/>
      <c r="I572" s="60"/>
      <c r="J572" s="60"/>
      <c r="K572" s="59"/>
      <c r="L572" s="59"/>
      <c r="M572" s="61"/>
      <c r="N572" s="59"/>
      <c r="O572" s="59"/>
    </row>
    <row r="573" ht="14.25" customHeight="1">
      <c r="A573" s="59"/>
      <c r="B573" s="60"/>
      <c r="C573" s="60"/>
      <c r="D573" s="59"/>
      <c r="E573" s="59"/>
      <c r="F573" s="60"/>
      <c r="G573" s="60"/>
      <c r="H573" s="60"/>
      <c r="I573" s="60"/>
      <c r="J573" s="60"/>
      <c r="K573" s="59"/>
      <c r="L573" s="59"/>
      <c r="M573" s="61"/>
      <c r="N573" s="59"/>
      <c r="O573" s="59"/>
    </row>
    <row r="574" ht="14.25" customHeight="1">
      <c r="A574" s="59"/>
      <c r="B574" s="60"/>
      <c r="C574" s="60"/>
      <c r="D574" s="59"/>
      <c r="E574" s="59"/>
      <c r="F574" s="60"/>
      <c r="G574" s="60"/>
      <c r="H574" s="60"/>
      <c r="I574" s="60"/>
      <c r="J574" s="60"/>
      <c r="K574" s="59"/>
      <c r="L574" s="59"/>
      <c r="M574" s="61"/>
      <c r="N574" s="59"/>
      <c r="O574" s="59"/>
    </row>
    <row r="575" ht="14.25" customHeight="1">
      <c r="A575" s="59"/>
      <c r="B575" s="60"/>
      <c r="C575" s="60"/>
      <c r="D575" s="59"/>
      <c r="E575" s="59"/>
      <c r="F575" s="60"/>
      <c r="G575" s="60"/>
      <c r="H575" s="60"/>
      <c r="I575" s="60"/>
      <c r="J575" s="60"/>
      <c r="K575" s="59"/>
      <c r="L575" s="59"/>
      <c r="M575" s="61"/>
      <c r="N575" s="59"/>
      <c r="O575" s="59"/>
    </row>
    <row r="576" ht="14.25" customHeight="1">
      <c r="A576" s="59"/>
      <c r="B576" s="60"/>
      <c r="C576" s="60"/>
      <c r="D576" s="59"/>
      <c r="E576" s="59"/>
      <c r="F576" s="60"/>
      <c r="G576" s="60"/>
      <c r="H576" s="60"/>
      <c r="I576" s="60"/>
      <c r="J576" s="60"/>
      <c r="K576" s="59"/>
      <c r="L576" s="59"/>
      <c r="M576" s="61"/>
      <c r="N576" s="59"/>
      <c r="O576" s="59"/>
    </row>
    <row r="577" ht="14.25" customHeight="1">
      <c r="A577" s="59"/>
      <c r="B577" s="60"/>
      <c r="C577" s="60"/>
      <c r="D577" s="59"/>
      <c r="E577" s="59"/>
      <c r="F577" s="60"/>
      <c r="G577" s="60"/>
      <c r="H577" s="60"/>
      <c r="I577" s="60"/>
      <c r="J577" s="60"/>
      <c r="K577" s="59"/>
      <c r="L577" s="59"/>
      <c r="M577" s="61"/>
      <c r="N577" s="59"/>
      <c r="O577" s="59"/>
    </row>
    <row r="578" ht="14.25" customHeight="1">
      <c r="A578" s="59"/>
      <c r="B578" s="60"/>
      <c r="C578" s="60"/>
      <c r="D578" s="59"/>
      <c r="E578" s="59"/>
      <c r="F578" s="60"/>
      <c r="G578" s="60"/>
      <c r="H578" s="60"/>
      <c r="I578" s="60"/>
      <c r="J578" s="60"/>
      <c r="K578" s="59"/>
      <c r="L578" s="59"/>
      <c r="M578" s="61"/>
      <c r="N578" s="59"/>
      <c r="O578" s="59"/>
    </row>
    <row r="579" ht="14.25" customHeight="1">
      <c r="A579" s="59"/>
      <c r="B579" s="60"/>
      <c r="C579" s="60"/>
      <c r="D579" s="59"/>
      <c r="E579" s="59"/>
      <c r="F579" s="60"/>
      <c r="G579" s="60"/>
      <c r="H579" s="60"/>
      <c r="I579" s="60"/>
      <c r="J579" s="60"/>
      <c r="K579" s="59"/>
      <c r="L579" s="59"/>
      <c r="M579" s="61"/>
      <c r="N579" s="59"/>
      <c r="O579" s="59"/>
    </row>
    <row r="580" ht="14.25" customHeight="1">
      <c r="A580" s="59"/>
      <c r="B580" s="60"/>
      <c r="C580" s="60"/>
      <c r="D580" s="59"/>
      <c r="E580" s="59"/>
      <c r="F580" s="60"/>
      <c r="G580" s="60"/>
      <c r="H580" s="60"/>
      <c r="I580" s="60"/>
      <c r="J580" s="60"/>
      <c r="K580" s="59"/>
      <c r="L580" s="59"/>
      <c r="M580" s="61"/>
      <c r="N580" s="59"/>
      <c r="O580" s="59"/>
    </row>
    <row r="581" ht="14.25" customHeight="1">
      <c r="A581" s="59"/>
      <c r="B581" s="60"/>
      <c r="C581" s="60"/>
      <c r="D581" s="59"/>
      <c r="E581" s="59"/>
      <c r="F581" s="60"/>
      <c r="G581" s="60"/>
      <c r="H581" s="60"/>
      <c r="I581" s="60"/>
      <c r="J581" s="60"/>
      <c r="K581" s="59"/>
      <c r="L581" s="59"/>
      <c r="M581" s="61"/>
      <c r="N581" s="59"/>
      <c r="O581" s="59"/>
    </row>
    <row r="582" ht="14.25" customHeight="1">
      <c r="A582" s="59"/>
      <c r="B582" s="60"/>
      <c r="C582" s="60"/>
      <c r="D582" s="59"/>
      <c r="E582" s="59"/>
      <c r="F582" s="60"/>
      <c r="G582" s="60"/>
      <c r="H582" s="60"/>
      <c r="I582" s="60"/>
      <c r="J582" s="60"/>
      <c r="K582" s="59"/>
      <c r="L582" s="59"/>
      <c r="M582" s="61"/>
      <c r="N582" s="59"/>
      <c r="O582" s="59"/>
    </row>
    <row r="583" ht="14.25" customHeight="1">
      <c r="A583" s="59"/>
      <c r="B583" s="60"/>
      <c r="C583" s="60"/>
      <c r="D583" s="59"/>
      <c r="E583" s="59"/>
      <c r="F583" s="60"/>
      <c r="G583" s="60"/>
      <c r="H583" s="60"/>
      <c r="I583" s="60"/>
      <c r="J583" s="60"/>
      <c r="K583" s="59"/>
      <c r="L583" s="59"/>
      <c r="M583" s="61"/>
      <c r="N583" s="59"/>
      <c r="O583" s="59"/>
    </row>
    <row r="584" ht="14.25" customHeight="1">
      <c r="A584" s="59"/>
      <c r="B584" s="60"/>
      <c r="C584" s="60"/>
      <c r="D584" s="59"/>
      <c r="E584" s="59"/>
      <c r="F584" s="60"/>
      <c r="G584" s="60"/>
      <c r="H584" s="60"/>
      <c r="I584" s="60"/>
      <c r="J584" s="60"/>
      <c r="K584" s="59"/>
      <c r="L584" s="59"/>
      <c r="M584" s="61"/>
      <c r="N584" s="59"/>
      <c r="O584" s="59"/>
    </row>
    <row r="585" ht="14.25" customHeight="1">
      <c r="A585" s="59"/>
      <c r="B585" s="60"/>
      <c r="C585" s="60"/>
      <c r="D585" s="59"/>
      <c r="E585" s="59"/>
      <c r="F585" s="60"/>
      <c r="G585" s="60"/>
      <c r="H585" s="60"/>
      <c r="I585" s="60"/>
      <c r="J585" s="60"/>
      <c r="K585" s="59"/>
      <c r="L585" s="59"/>
      <c r="M585" s="61"/>
      <c r="N585" s="59"/>
      <c r="O585" s="59"/>
    </row>
    <row r="586" ht="14.25" customHeight="1">
      <c r="A586" s="59"/>
      <c r="B586" s="60"/>
      <c r="C586" s="60"/>
      <c r="D586" s="59"/>
      <c r="E586" s="59"/>
      <c r="F586" s="60"/>
      <c r="G586" s="60"/>
      <c r="H586" s="60"/>
      <c r="I586" s="60"/>
      <c r="J586" s="60"/>
      <c r="K586" s="59"/>
      <c r="L586" s="59"/>
      <c r="M586" s="61"/>
      <c r="N586" s="59"/>
      <c r="O586" s="59"/>
    </row>
    <row r="587" ht="14.25" customHeight="1">
      <c r="A587" s="59"/>
      <c r="B587" s="60"/>
      <c r="C587" s="60"/>
      <c r="D587" s="59"/>
      <c r="E587" s="59"/>
      <c r="F587" s="60"/>
      <c r="G587" s="60"/>
      <c r="H587" s="60"/>
      <c r="I587" s="60"/>
      <c r="J587" s="60"/>
      <c r="K587" s="59"/>
      <c r="L587" s="59"/>
      <c r="M587" s="61"/>
      <c r="N587" s="59"/>
      <c r="O587" s="59"/>
    </row>
    <row r="588" ht="14.25" customHeight="1">
      <c r="A588" s="59"/>
      <c r="B588" s="60"/>
      <c r="C588" s="60"/>
      <c r="D588" s="59"/>
      <c r="E588" s="59"/>
      <c r="F588" s="60"/>
      <c r="G588" s="60"/>
      <c r="H588" s="60"/>
      <c r="I588" s="60"/>
      <c r="J588" s="60"/>
      <c r="K588" s="59"/>
      <c r="L588" s="59"/>
      <c r="M588" s="61"/>
      <c r="N588" s="59"/>
      <c r="O588" s="59"/>
    </row>
    <row r="589" ht="14.25" customHeight="1">
      <c r="A589" s="59"/>
      <c r="B589" s="60"/>
      <c r="C589" s="60"/>
      <c r="D589" s="59"/>
      <c r="E589" s="59"/>
      <c r="F589" s="60"/>
      <c r="G589" s="60"/>
      <c r="H589" s="60"/>
      <c r="I589" s="60"/>
      <c r="J589" s="60"/>
      <c r="K589" s="59"/>
      <c r="L589" s="59"/>
      <c r="M589" s="61"/>
      <c r="N589" s="59"/>
      <c r="O589" s="59"/>
    </row>
    <row r="590" ht="14.25" customHeight="1">
      <c r="A590" s="59"/>
      <c r="B590" s="60"/>
      <c r="C590" s="60"/>
      <c r="D590" s="59"/>
      <c r="E590" s="59"/>
      <c r="F590" s="60"/>
      <c r="G590" s="60"/>
      <c r="H590" s="60"/>
      <c r="I590" s="60"/>
      <c r="J590" s="60"/>
      <c r="K590" s="59"/>
      <c r="L590" s="59"/>
      <c r="M590" s="61"/>
      <c r="N590" s="59"/>
      <c r="O590" s="59"/>
    </row>
    <row r="591" ht="14.25" customHeight="1">
      <c r="A591" s="59"/>
      <c r="B591" s="60"/>
      <c r="C591" s="60"/>
      <c r="D591" s="59"/>
      <c r="E591" s="59"/>
      <c r="F591" s="60"/>
      <c r="G591" s="60"/>
      <c r="H591" s="60"/>
      <c r="I591" s="60"/>
      <c r="J591" s="60"/>
      <c r="K591" s="59"/>
      <c r="L591" s="59"/>
      <c r="M591" s="61"/>
      <c r="N591" s="59"/>
      <c r="O591" s="59"/>
    </row>
    <row r="592" ht="14.25" customHeight="1">
      <c r="A592" s="59"/>
      <c r="B592" s="60"/>
      <c r="C592" s="60"/>
      <c r="D592" s="59"/>
      <c r="E592" s="59"/>
      <c r="F592" s="60"/>
      <c r="G592" s="60"/>
      <c r="H592" s="60"/>
      <c r="I592" s="60"/>
      <c r="J592" s="60"/>
      <c r="K592" s="59"/>
      <c r="L592" s="59"/>
      <c r="M592" s="61"/>
      <c r="N592" s="59"/>
      <c r="O592" s="59"/>
    </row>
    <row r="593" ht="14.25" customHeight="1">
      <c r="A593" s="59"/>
      <c r="B593" s="60"/>
      <c r="C593" s="60"/>
      <c r="D593" s="59"/>
      <c r="E593" s="59"/>
      <c r="F593" s="60"/>
      <c r="G593" s="60"/>
      <c r="H593" s="60"/>
      <c r="I593" s="60"/>
      <c r="J593" s="60"/>
      <c r="K593" s="59"/>
      <c r="L593" s="59"/>
      <c r="M593" s="61"/>
      <c r="N593" s="59"/>
      <c r="O593" s="59"/>
    </row>
    <row r="594" ht="14.25" customHeight="1">
      <c r="A594" s="59"/>
      <c r="B594" s="60"/>
      <c r="C594" s="60"/>
      <c r="D594" s="59"/>
      <c r="E594" s="59"/>
      <c r="F594" s="60"/>
      <c r="G594" s="60"/>
      <c r="H594" s="60"/>
      <c r="I594" s="60"/>
      <c r="J594" s="60"/>
      <c r="K594" s="59"/>
      <c r="L594" s="59"/>
      <c r="M594" s="61"/>
      <c r="N594" s="59"/>
      <c r="O594" s="59"/>
    </row>
    <row r="595" ht="14.25" customHeight="1">
      <c r="A595" s="59"/>
      <c r="B595" s="60"/>
      <c r="C595" s="60"/>
      <c r="D595" s="59"/>
      <c r="E595" s="59"/>
      <c r="F595" s="60"/>
      <c r="G595" s="60"/>
      <c r="H595" s="60"/>
      <c r="I595" s="60"/>
      <c r="J595" s="60"/>
      <c r="K595" s="59"/>
      <c r="L595" s="59"/>
      <c r="M595" s="61"/>
      <c r="N595" s="59"/>
      <c r="O595" s="59"/>
    </row>
    <row r="596" ht="14.25" customHeight="1">
      <c r="A596" s="59"/>
      <c r="B596" s="60"/>
      <c r="C596" s="60"/>
      <c r="D596" s="59"/>
      <c r="E596" s="59"/>
      <c r="F596" s="60"/>
      <c r="G596" s="60"/>
      <c r="H596" s="60"/>
      <c r="I596" s="60"/>
      <c r="J596" s="60"/>
      <c r="K596" s="59"/>
      <c r="L596" s="59"/>
      <c r="M596" s="61"/>
      <c r="N596" s="59"/>
      <c r="O596" s="59"/>
    </row>
    <row r="597" ht="14.25" customHeight="1">
      <c r="A597" s="59"/>
      <c r="B597" s="60"/>
      <c r="C597" s="60"/>
      <c r="D597" s="59"/>
      <c r="E597" s="59"/>
      <c r="F597" s="60"/>
      <c r="G597" s="60"/>
      <c r="H597" s="60"/>
      <c r="I597" s="60"/>
      <c r="J597" s="60"/>
      <c r="K597" s="59"/>
      <c r="L597" s="59"/>
      <c r="M597" s="61"/>
      <c r="N597" s="59"/>
      <c r="O597" s="59"/>
    </row>
    <row r="598" ht="14.25" customHeight="1">
      <c r="A598" s="59"/>
      <c r="B598" s="60"/>
      <c r="C598" s="60"/>
      <c r="D598" s="59"/>
      <c r="E598" s="59"/>
      <c r="F598" s="60"/>
      <c r="G598" s="60"/>
      <c r="H598" s="60"/>
      <c r="I598" s="60"/>
      <c r="J598" s="60"/>
      <c r="K598" s="59"/>
      <c r="L598" s="59"/>
      <c r="M598" s="61"/>
      <c r="N598" s="59"/>
      <c r="O598" s="59"/>
    </row>
    <row r="599" ht="14.25" customHeight="1">
      <c r="A599" s="59"/>
      <c r="B599" s="60"/>
      <c r="C599" s="60"/>
      <c r="D599" s="59"/>
      <c r="E599" s="59"/>
      <c r="F599" s="60"/>
      <c r="G599" s="60"/>
      <c r="H599" s="60"/>
      <c r="I599" s="60"/>
      <c r="J599" s="60"/>
      <c r="K599" s="59"/>
      <c r="L599" s="59"/>
      <c r="M599" s="61"/>
      <c r="N599" s="59"/>
      <c r="O599" s="59"/>
    </row>
    <row r="600" ht="14.25" customHeight="1">
      <c r="A600" s="59"/>
      <c r="B600" s="60"/>
      <c r="C600" s="60"/>
      <c r="D600" s="59"/>
      <c r="E600" s="59"/>
      <c r="F600" s="60"/>
      <c r="G600" s="60"/>
      <c r="H600" s="60"/>
      <c r="I600" s="60"/>
      <c r="J600" s="60"/>
      <c r="K600" s="59"/>
      <c r="L600" s="59"/>
      <c r="M600" s="61"/>
      <c r="N600" s="59"/>
      <c r="O600" s="59"/>
    </row>
    <row r="601" ht="14.25" customHeight="1">
      <c r="A601" s="59"/>
      <c r="B601" s="60"/>
      <c r="C601" s="60"/>
      <c r="D601" s="59"/>
      <c r="E601" s="59"/>
      <c r="F601" s="60"/>
      <c r="G601" s="60"/>
      <c r="H601" s="60"/>
      <c r="I601" s="60"/>
      <c r="J601" s="60"/>
      <c r="K601" s="59"/>
      <c r="L601" s="59"/>
      <c r="M601" s="61"/>
      <c r="N601" s="59"/>
      <c r="O601" s="59"/>
    </row>
    <row r="602" ht="14.25" customHeight="1">
      <c r="A602" s="59"/>
      <c r="B602" s="60"/>
      <c r="C602" s="60"/>
      <c r="D602" s="59"/>
      <c r="E602" s="59"/>
      <c r="F602" s="60"/>
      <c r="G602" s="60"/>
      <c r="H602" s="60"/>
      <c r="I602" s="60"/>
      <c r="J602" s="60"/>
      <c r="K602" s="59"/>
      <c r="L602" s="59"/>
      <c r="M602" s="61"/>
      <c r="N602" s="59"/>
      <c r="O602" s="59"/>
    </row>
    <row r="603" ht="14.25" customHeight="1">
      <c r="A603" s="59"/>
      <c r="B603" s="60"/>
      <c r="C603" s="60"/>
      <c r="D603" s="59"/>
      <c r="E603" s="59"/>
      <c r="F603" s="60"/>
      <c r="G603" s="60"/>
      <c r="H603" s="60"/>
      <c r="I603" s="60"/>
      <c r="J603" s="60"/>
      <c r="K603" s="59"/>
      <c r="L603" s="59"/>
      <c r="M603" s="61"/>
      <c r="N603" s="59"/>
      <c r="O603" s="59"/>
    </row>
    <row r="604" ht="14.25" customHeight="1">
      <c r="A604" s="59"/>
      <c r="B604" s="60"/>
      <c r="C604" s="60"/>
      <c r="D604" s="59"/>
      <c r="E604" s="59"/>
      <c r="F604" s="60"/>
      <c r="G604" s="60"/>
      <c r="H604" s="60"/>
      <c r="I604" s="60"/>
      <c r="J604" s="60"/>
      <c r="K604" s="59"/>
      <c r="L604" s="59"/>
      <c r="M604" s="61"/>
      <c r="N604" s="59"/>
      <c r="O604" s="59"/>
    </row>
    <row r="605" ht="14.25" customHeight="1">
      <c r="A605" s="59"/>
      <c r="B605" s="60"/>
      <c r="C605" s="60"/>
      <c r="D605" s="59"/>
      <c r="E605" s="59"/>
      <c r="F605" s="60"/>
      <c r="G605" s="60"/>
      <c r="H605" s="60"/>
      <c r="I605" s="60"/>
      <c r="J605" s="60"/>
      <c r="K605" s="59"/>
      <c r="L605" s="59"/>
      <c r="M605" s="61"/>
      <c r="N605" s="59"/>
      <c r="O605" s="59"/>
    </row>
    <row r="606" ht="14.25" customHeight="1">
      <c r="A606" s="59"/>
      <c r="B606" s="60"/>
      <c r="C606" s="60"/>
      <c r="D606" s="59"/>
      <c r="E606" s="59"/>
      <c r="F606" s="60"/>
      <c r="G606" s="60"/>
      <c r="H606" s="60"/>
      <c r="I606" s="60"/>
      <c r="J606" s="60"/>
      <c r="K606" s="59"/>
      <c r="L606" s="59"/>
      <c r="M606" s="61"/>
      <c r="N606" s="59"/>
      <c r="O606" s="59"/>
    </row>
    <row r="607" ht="14.25" customHeight="1">
      <c r="A607" s="59"/>
      <c r="B607" s="60"/>
      <c r="C607" s="60"/>
      <c r="D607" s="59"/>
      <c r="E607" s="59"/>
      <c r="F607" s="60"/>
      <c r="G607" s="60"/>
      <c r="H607" s="60"/>
      <c r="I607" s="60"/>
      <c r="J607" s="60"/>
      <c r="K607" s="59"/>
      <c r="L607" s="59"/>
      <c r="M607" s="61"/>
      <c r="N607" s="59"/>
      <c r="O607" s="59"/>
    </row>
    <row r="608" ht="14.25" customHeight="1">
      <c r="A608" s="59"/>
      <c r="B608" s="60"/>
      <c r="C608" s="60"/>
      <c r="D608" s="59"/>
      <c r="E608" s="59"/>
      <c r="F608" s="60"/>
      <c r="G608" s="60"/>
      <c r="H608" s="60"/>
      <c r="I608" s="60"/>
      <c r="J608" s="60"/>
      <c r="K608" s="59"/>
      <c r="L608" s="59"/>
      <c r="M608" s="61"/>
      <c r="N608" s="59"/>
      <c r="O608" s="59"/>
    </row>
    <row r="609" ht="14.25" customHeight="1">
      <c r="A609" s="59"/>
      <c r="B609" s="60"/>
      <c r="C609" s="60"/>
      <c r="D609" s="59"/>
      <c r="E609" s="59"/>
      <c r="F609" s="60"/>
      <c r="G609" s="60"/>
      <c r="H609" s="60"/>
      <c r="I609" s="60"/>
      <c r="J609" s="60"/>
      <c r="K609" s="59"/>
      <c r="L609" s="59"/>
      <c r="M609" s="61"/>
      <c r="N609" s="59"/>
      <c r="O609" s="59"/>
    </row>
    <row r="610" ht="14.25" customHeight="1">
      <c r="A610" s="59"/>
      <c r="B610" s="60"/>
      <c r="C610" s="60"/>
      <c r="D610" s="59"/>
      <c r="E610" s="59"/>
      <c r="F610" s="60"/>
      <c r="G610" s="60"/>
      <c r="H610" s="60"/>
      <c r="I610" s="60"/>
      <c r="J610" s="60"/>
      <c r="K610" s="59"/>
      <c r="L610" s="59"/>
      <c r="M610" s="61"/>
      <c r="N610" s="59"/>
      <c r="O610" s="59"/>
    </row>
    <row r="611" ht="14.25" customHeight="1">
      <c r="A611" s="59"/>
      <c r="B611" s="60"/>
      <c r="C611" s="60"/>
      <c r="D611" s="59"/>
      <c r="E611" s="59"/>
      <c r="F611" s="60"/>
      <c r="G611" s="60"/>
      <c r="H611" s="60"/>
      <c r="I611" s="60"/>
      <c r="J611" s="60"/>
      <c r="K611" s="59"/>
      <c r="L611" s="59"/>
      <c r="M611" s="61"/>
      <c r="N611" s="59"/>
      <c r="O611" s="59"/>
    </row>
    <row r="612" ht="14.25" customHeight="1">
      <c r="A612" s="59"/>
      <c r="B612" s="60"/>
      <c r="C612" s="60"/>
      <c r="D612" s="59"/>
      <c r="E612" s="59"/>
      <c r="F612" s="60"/>
      <c r="G612" s="60"/>
      <c r="H612" s="60"/>
      <c r="I612" s="60"/>
      <c r="J612" s="60"/>
      <c r="K612" s="59"/>
      <c r="L612" s="59"/>
      <c r="M612" s="61"/>
      <c r="N612" s="59"/>
      <c r="O612" s="59"/>
    </row>
    <row r="613" ht="14.25" customHeight="1">
      <c r="A613" s="59"/>
      <c r="B613" s="60"/>
      <c r="C613" s="60"/>
      <c r="D613" s="59"/>
      <c r="E613" s="59"/>
      <c r="F613" s="60"/>
      <c r="G613" s="60"/>
      <c r="H613" s="60"/>
      <c r="I613" s="60"/>
      <c r="J613" s="60"/>
      <c r="K613" s="59"/>
      <c r="L613" s="59"/>
      <c r="M613" s="61"/>
      <c r="N613" s="59"/>
      <c r="O613" s="59"/>
    </row>
    <row r="614" ht="14.25" customHeight="1">
      <c r="A614" s="59"/>
      <c r="B614" s="60"/>
      <c r="C614" s="60"/>
      <c r="D614" s="59"/>
      <c r="E614" s="59"/>
      <c r="F614" s="60"/>
      <c r="G614" s="60"/>
      <c r="H614" s="60"/>
      <c r="I614" s="60"/>
      <c r="J614" s="60"/>
      <c r="K614" s="59"/>
      <c r="L614" s="59"/>
      <c r="M614" s="61"/>
      <c r="N614" s="59"/>
      <c r="O614" s="59"/>
    </row>
    <row r="615" ht="14.25" customHeight="1">
      <c r="A615" s="59"/>
      <c r="B615" s="60"/>
      <c r="C615" s="60"/>
      <c r="D615" s="59"/>
      <c r="E615" s="59"/>
      <c r="F615" s="60"/>
      <c r="G615" s="60"/>
      <c r="H615" s="60"/>
      <c r="I615" s="60"/>
      <c r="J615" s="60"/>
      <c r="K615" s="59"/>
      <c r="L615" s="59"/>
      <c r="M615" s="61"/>
      <c r="N615" s="59"/>
      <c r="O615" s="59"/>
    </row>
    <row r="616" ht="14.25" customHeight="1">
      <c r="A616" s="59"/>
      <c r="B616" s="60"/>
      <c r="C616" s="60"/>
      <c r="D616" s="59"/>
      <c r="E616" s="59"/>
      <c r="F616" s="60"/>
      <c r="G616" s="60"/>
      <c r="H616" s="60"/>
      <c r="I616" s="60"/>
      <c r="J616" s="60"/>
      <c r="K616" s="59"/>
      <c r="L616" s="59"/>
      <c r="M616" s="61"/>
      <c r="N616" s="59"/>
      <c r="O616" s="59"/>
    </row>
    <row r="617" ht="14.25" customHeight="1">
      <c r="A617" s="59"/>
      <c r="B617" s="60"/>
      <c r="C617" s="60"/>
      <c r="D617" s="59"/>
      <c r="E617" s="59"/>
      <c r="F617" s="60"/>
      <c r="G617" s="60"/>
      <c r="H617" s="60"/>
      <c r="I617" s="60"/>
      <c r="J617" s="60"/>
      <c r="K617" s="59"/>
      <c r="L617" s="59"/>
      <c r="M617" s="61"/>
      <c r="N617" s="59"/>
      <c r="O617" s="59"/>
    </row>
    <row r="618" ht="14.25" customHeight="1">
      <c r="A618" s="59"/>
      <c r="B618" s="60"/>
      <c r="C618" s="60"/>
      <c r="D618" s="59"/>
      <c r="E618" s="59"/>
      <c r="F618" s="60"/>
      <c r="G618" s="60"/>
      <c r="H618" s="60"/>
      <c r="I618" s="60"/>
      <c r="J618" s="60"/>
      <c r="K618" s="59"/>
      <c r="L618" s="59"/>
      <c r="M618" s="61"/>
      <c r="N618" s="59"/>
      <c r="O618" s="59"/>
    </row>
    <row r="619" ht="14.25" customHeight="1">
      <c r="A619" s="59"/>
      <c r="B619" s="60"/>
      <c r="C619" s="60"/>
      <c r="D619" s="59"/>
      <c r="E619" s="59"/>
      <c r="F619" s="60"/>
      <c r="G619" s="60"/>
      <c r="H619" s="60"/>
      <c r="I619" s="60"/>
      <c r="J619" s="60"/>
      <c r="K619" s="59"/>
      <c r="L619" s="59"/>
      <c r="M619" s="61"/>
      <c r="N619" s="59"/>
      <c r="O619" s="59"/>
    </row>
    <row r="620" ht="14.25" customHeight="1">
      <c r="A620" s="59"/>
      <c r="B620" s="60"/>
      <c r="C620" s="60"/>
      <c r="D620" s="59"/>
      <c r="E620" s="59"/>
      <c r="F620" s="60"/>
      <c r="G620" s="60"/>
      <c r="H620" s="60"/>
      <c r="I620" s="60"/>
      <c r="J620" s="60"/>
      <c r="K620" s="59"/>
      <c r="L620" s="59"/>
      <c r="M620" s="61"/>
      <c r="N620" s="59"/>
      <c r="O620" s="59"/>
    </row>
    <row r="621" ht="14.25" customHeight="1">
      <c r="A621" s="59"/>
      <c r="B621" s="60"/>
      <c r="C621" s="60"/>
      <c r="D621" s="59"/>
      <c r="E621" s="59"/>
      <c r="F621" s="60"/>
      <c r="G621" s="60"/>
      <c r="H621" s="60"/>
      <c r="I621" s="60"/>
      <c r="J621" s="60"/>
      <c r="K621" s="59"/>
      <c r="L621" s="59"/>
      <c r="M621" s="61"/>
      <c r="N621" s="59"/>
      <c r="O621" s="59"/>
    </row>
    <row r="622" ht="14.25" customHeight="1">
      <c r="A622" s="59"/>
      <c r="B622" s="60"/>
      <c r="C622" s="60"/>
      <c r="D622" s="59"/>
      <c r="E622" s="59"/>
      <c r="F622" s="60"/>
      <c r="G622" s="60"/>
      <c r="H622" s="60"/>
      <c r="I622" s="60"/>
      <c r="J622" s="60"/>
      <c r="K622" s="59"/>
      <c r="L622" s="59"/>
      <c r="M622" s="61"/>
      <c r="N622" s="59"/>
      <c r="O622" s="59"/>
    </row>
    <row r="623" ht="14.25" customHeight="1">
      <c r="A623" s="59"/>
      <c r="B623" s="60"/>
      <c r="C623" s="60"/>
      <c r="D623" s="59"/>
      <c r="E623" s="59"/>
      <c r="F623" s="60"/>
      <c r="G623" s="60"/>
      <c r="H623" s="60"/>
      <c r="I623" s="60"/>
      <c r="J623" s="60"/>
      <c r="K623" s="59"/>
      <c r="L623" s="59"/>
      <c r="M623" s="61"/>
      <c r="N623" s="59"/>
      <c r="O623" s="59"/>
    </row>
    <row r="624" ht="14.25" customHeight="1">
      <c r="A624" s="59"/>
      <c r="B624" s="60"/>
      <c r="C624" s="60"/>
      <c r="D624" s="59"/>
      <c r="E624" s="59"/>
      <c r="F624" s="60"/>
      <c r="G624" s="60"/>
      <c r="H624" s="60"/>
      <c r="I624" s="60"/>
      <c r="J624" s="60"/>
      <c r="K624" s="59"/>
      <c r="L624" s="59"/>
      <c r="M624" s="61"/>
      <c r="N624" s="59"/>
      <c r="O624" s="59"/>
    </row>
    <row r="625" ht="14.25" customHeight="1">
      <c r="A625" s="59"/>
      <c r="B625" s="60"/>
      <c r="C625" s="60"/>
      <c r="D625" s="59"/>
      <c r="E625" s="59"/>
      <c r="F625" s="60"/>
      <c r="G625" s="60"/>
      <c r="H625" s="60"/>
      <c r="I625" s="60"/>
      <c r="J625" s="60"/>
      <c r="K625" s="59"/>
      <c r="L625" s="59"/>
      <c r="M625" s="61"/>
      <c r="N625" s="59"/>
      <c r="O625" s="59"/>
    </row>
    <row r="626" ht="14.25" customHeight="1">
      <c r="A626" s="59"/>
      <c r="B626" s="60"/>
      <c r="C626" s="60"/>
      <c r="D626" s="59"/>
      <c r="E626" s="59"/>
      <c r="F626" s="60"/>
      <c r="G626" s="60"/>
      <c r="H626" s="60"/>
      <c r="I626" s="60"/>
      <c r="J626" s="60"/>
      <c r="K626" s="59"/>
      <c r="L626" s="59"/>
      <c r="M626" s="61"/>
      <c r="N626" s="59"/>
      <c r="O626" s="59"/>
    </row>
    <row r="627" ht="14.25" customHeight="1">
      <c r="A627" s="59"/>
      <c r="B627" s="60"/>
      <c r="C627" s="60"/>
      <c r="D627" s="59"/>
      <c r="E627" s="59"/>
      <c r="F627" s="60"/>
      <c r="G627" s="60"/>
      <c r="H627" s="60"/>
      <c r="I627" s="60"/>
      <c r="J627" s="60"/>
      <c r="K627" s="59"/>
      <c r="L627" s="59"/>
      <c r="M627" s="61"/>
      <c r="N627" s="59"/>
      <c r="O627" s="59"/>
    </row>
    <row r="628" ht="14.25" customHeight="1">
      <c r="A628" s="59"/>
      <c r="B628" s="60"/>
      <c r="C628" s="60"/>
      <c r="D628" s="59"/>
      <c r="E628" s="59"/>
      <c r="F628" s="60"/>
      <c r="G628" s="60"/>
      <c r="H628" s="60"/>
      <c r="I628" s="60"/>
      <c r="J628" s="60"/>
      <c r="K628" s="59"/>
      <c r="L628" s="59"/>
      <c r="M628" s="61"/>
      <c r="N628" s="59"/>
      <c r="O628" s="59"/>
    </row>
    <row r="629" ht="14.25" customHeight="1">
      <c r="A629" s="59"/>
      <c r="B629" s="60"/>
      <c r="C629" s="60"/>
      <c r="D629" s="59"/>
      <c r="E629" s="59"/>
      <c r="F629" s="60"/>
      <c r="G629" s="60"/>
      <c r="H629" s="60"/>
      <c r="I629" s="60"/>
      <c r="J629" s="60"/>
      <c r="K629" s="59"/>
      <c r="L629" s="59"/>
      <c r="M629" s="61"/>
      <c r="N629" s="59"/>
      <c r="O629" s="59"/>
    </row>
    <row r="630" ht="14.25" customHeight="1">
      <c r="A630" s="59"/>
      <c r="B630" s="60"/>
      <c r="C630" s="60"/>
      <c r="D630" s="59"/>
      <c r="E630" s="59"/>
      <c r="F630" s="60"/>
      <c r="G630" s="60"/>
      <c r="H630" s="60"/>
      <c r="I630" s="60"/>
      <c r="J630" s="60"/>
      <c r="K630" s="59"/>
      <c r="L630" s="59"/>
      <c r="M630" s="61"/>
      <c r="N630" s="59"/>
      <c r="O630" s="59"/>
    </row>
    <row r="631" ht="14.25" customHeight="1">
      <c r="A631" s="59"/>
      <c r="B631" s="60"/>
      <c r="C631" s="60"/>
      <c r="D631" s="59"/>
      <c r="E631" s="59"/>
      <c r="F631" s="60"/>
      <c r="G631" s="60"/>
      <c r="H631" s="60"/>
      <c r="I631" s="60"/>
      <c r="J631" s="60"/>
      <c r="K631" s="59"/>
      <c r="L631" s="59"/>
      <c r="M631" s="61"/>
      <c r="N631" s="59"/>
      <c r="O631" s="59"/>
    </row>
    <row r="632" ht="14.25" customHeight="1">
      <c r="A632" s="59"/>
      <c r="B632" s="60"/>
      <c r="C632" s="60"/>
      <c r="D632" s="59"/>
      <c r="E632" s="59"/>
      <c r="F632" s="60"/>
      <c r="G632" s="60"/>
      <c r="H632" s="60"/>
      <c r="I632" s="60"/>
      <c r="J632" s="60"/>
      <c r="K632" s="59"/>
      <c r="L632" s="59"/>
      <c r="M632" s="61"/>
      <c r="N632" s="59"/>
      <c r="O632" s="59"/>
    </row>
    <row r="633" ht="14.25" customHeight="1">
      <c r="A633" s="59"/>
      <c r="B633" s="60"/>
      <c r="C633" s="60"/>
      <c r="D633" s="59"/>
      <c r="E633" s="59"/>
      <c r="F633" s="60"/>
      <c r="G633" s="60"/>
      <c r="H633" s="60"/>
      <c r="I633" s="60"/>
      <c r="J633" s="60"/>
      <c r="K633" s="59"/>
      <c r="L633" s="59"/>
      <c r="M633" s="61"/>
      <c r="N633" s="59"/>
      <c r="O633" s="59"/>
    </row>
    <row r="634" ht="14.25" customHeight="1">
      <c r="A634" s="59"/>
      <c r="B634" s="60"/>
      <c r="C634" s="60"/>
      <c r="D634" s="59"/>
      <c r="E634" s="59"/>
      <c r="F634" s="60"/>
      <c r="G634" s="60"/>
      <c r="H634" s="60"/>
      <c r="I634" s="60"/>
      <c r="J634" s="60"/>
      <c r="K634" s="59"/>
      <c r="L634" s="59"/>
      <c r="M634" s="61"/>
      <c r="N634" s="59"/>
      <c r="O634" s="59"/>
    </row>
    <row r="635" ht="14.25" customHeight="1">
      <c r="A635" s="59"/>
      <c r="B635" s="60"/>
      <c r="C635" s="60"/>
      <c r="D635" s="59"/>
      <c r="E635" s="59"/>
      <c r="F635" s="60"/>
      <c r="G635" s="60"/>
      <c r="H635" s="60"/>
      <c r="I635" s="60"/>
      <c r="J635" s="60"/>
      <c r="K635" s="59"/>
      <c r="L635" s="59"/>
      <c r="M635" s="61"/>
      <c r="N635" s="59"/>
      <c r="O635" s="59"/>
    </row>
    <row r="636" ht="14.25" customHeight="1">
      <c r="A636" s="59"/>
      <c r="B636" s="60"/>
      <c r="C636" s="60"/>
      <c r="D636" s="59"/>
      <c r="E636" s="59"/>
      <c r="F636" s="60"/>
      <c r="G636" s="60"/>
      <c r="H636" s="60"/>
      <c r="I636" s="60"/>
      <c r="J636" s="60"/>
      <c r="K636" s="59"/>
      <c r="L636" s="59"/>
      <c r="M636" s="61"/>
      <c r="N636" s="59"/>
      <c r="O636" s="59"/>
    </row>
    <row r="637" ht="14.25" customHeight="1">
      <c r="A637" s="59"/>
      <c r="B637" s="60"/>
      <c r="C637" s="60"/>
      <c r="D637" s="59"/>
      <c r="E637" s="59"/>
      <c r="F637" s="60"/>
      <c r="G637" s="60"/>
      <c r="H637" s="60"/>
      <c r="I637" s="60"/>
      <c r="J637" s="60"/>
      <c r="K637" s="59"/>
      <c r="L637" s="59"/>
      <c r="M637" s="61"/>
      <c r="N637" s="59"/>
      <c r="O637" s="59"/>
    </row>
    <row r="638" ht="14.25" customHeight="1">
      <c r="A638" s="59"/>
      <c r="B638" s="60"/>
      <c r="C638" s="60"/>
      <c r="D638" s="59"/>
      <c r="E638" s="59"/>
      <c r="F638" s="60"/>
      <c r="G638" s="60"/>
      <c r="H638" s="60"/>
      <c r="I638" s="60"/>
      <c r="J638" s="60"/>
      <c r="K638" s="59"/>
      <c r="L638" s="59"/>
      <c r="M638" s="61"/>
      <c r="N638" s="59"/>
      <c r="O638" s="59"/>
    </row>
    <row r="639" ht="14.25" customHeight="1">
      <c r="A639" s="59"/>
      <c r="B639" s="60"/>
      <c r="C639" s="60"/>
      <c r="D639" s="59"/>
      <c r="E639" s="59"/>
      <c r="F639" s="60"/>
      <c r="G639" s="60"/>
      <c r="H639" s="60"/>
      <c r="I639" s="60"/>
      <c r="J639" s="60"/>
      <c r="K639" s="59"/>
      <c r="L639" s="59"/>
      <c r="M639" s="61"/>
      <c r="N639" s="59"/>
      <c r="O639" s="59"/>
    </row>
    <row r="640" ht="14.25" customHeight="1">
      <c r="A640" s="59"/>
      <c r="B640" s="60"/>
      <c r="C640" s="60"/>
      <c r="D640" s="59"/>
      <c r="E640" s="59"/>
      <c r="F640" s="60"/>
      <c r="G640" s="60"/>
      <c r="H640" s="60"/>
      <c r="I640" s="60"/>
      <c r="J640" s="60"/>
      <c r="K640" s="59"/>
      <c r="L640" s="59"/>
      <c r="M640" s="61"/>
      <c r="N640" s="59"/>
      <c r="O640" s="59"/>
    </row>
    <row r="641" ht="14.25" customHeight="1">
      <c r="A641" s="59"/>
      <c r="B641" s="60"/>
      <c r="C641" s="60"/>
      <c r="D641" s="59"/>
      <c r="E641" s="59"/>
      <c r="F641" s="60"/>
      <c r="G641" s="60"/>
      <c r="H641" s="60"/>
      <c r="I641" s="60"/>
      <c r="J641" s="60"/>
      <c r="K641" s="59"/>
      <c r="L641" s="59"/>
      <c r="M641" s="61"/>
      <c r="N641" s="59"/>
      <c r="O641" s="59"/>
    </row>
    <row r="642" ht="14.25" customHeight="1">
      <c r="A642" s="59"/>
      <c r="B642" s="60"/>
      <c r="C642" s="60"/>
      <c r="D642" s="59"/>
      <c r="E642" s="59"/>
      <c r="F642" s="60"/>
      <c r="G642" s="60"/>
      <c r="H642" s="60"/>
      <c r="I642" s="60"/>
      <c r="J642" s="60"/>
      <c r="K642" s="59"/>
      <c r="L642" s="59"/>
      <c r="M642" s="61"/>
      <c r="N642" s="59"/>
      <c r="O642" s="59"/>
    </row>
    <row r="643" ht="14.25" customHeight="1">
      <c r="A643" s="59"/>
      <c r="B643" s="60"/>
      <c r="C643" s="60"/>
      <c r="D643" s="59"/>
      <c r="E643" s="59"/>
      <c r="F643" s="60"/>
      <c r="G643" s="60"/>
      <c r="H643" s="60"/>
      <c r="I643" s="60"/>
      <c r="J643" s="60"/>
      <c r="K643" s="59"/>
      <c r="L643" s="59"/>
      <c r="M643" s="61"/>
      <c r="N643" s="59"/>
      <c r="O643" s="59"/>
    </row>
    <row r="644" ht="14.25" customHeight="1">
      <c r="A644" s="59"/>
      <c r="B644" s="60"/>
      <c r="C644" s="60"/>
      <c r="D644" s="59"/>
      <c r="E644" s="59"/>
      <c r="F644" s="60"/>
      <c r="G644" s="60"/>
      <c r="H644" s="60"/>
      <c r="I644" s="60"/>
      <c r="J644" s="60"/>
      <c r="K644" s="59"/>
      <c r="L644" s="59"/>
      <c r="M644" s="61"/>
      <c r="N644" s="59"/>
      <c r="O644" s="59"/>
    </row>
    <row r="645" ht="14.25" customHeight="1">
      <c r="A645" s="59"/>
      <c r="B645" s="60"/>
      <c r="C645" s="60"/>
      <c r="D645" s="59"/>
      <c r="E645" s="59"/>
      <c r="F645" s="60"/>
      <c r="G645" s="60"/>
      <c r="H645" s="60"/>
      <c r="I645" s="60"/>
      <c r="J645" s="60"/>
      <c r="K645" s="59"/>
      <c r="L645" s="59"/>
      <c r="M645" s="61"/>
      <c r="N645" s="59"/>
      <c r="O645" s="59"/>
    </row>
    <row r="646" ht="14.25" customHeight="1">
      <c r="A646" s="59"/>
      <c r="B646" s="60"/>
      <c r="C646" s="60"/>
      <c r="D646" s="59"/>
      <c r="E646" s="59"/>
      <c r="F646" s="60"/>
      <c r="G646" s="60"/>
      <c r="H646" s="60"/>
      <c r="I646" s="60"/>
      <c r="J646" s="60"/>
      <c r="K646" s="59"/>
      <c r="L646" s="59"/>
      <c r="M646" s="61"/>
      <c r="N646" s="59"/>
      <c r="O646" s="59"/>
    </row>
    <row r="647" ht="14.25" customHeight="1">
      <c r="A647" s="59"/>
      <c r="B647" s="60"/>
      <c r="C647" s="60"/>
      <c r="D647" s="59"/>
      <c r="E647" s="59"/>
      <c r="F647" s="60"/>
      <c r="G647" s="60"/>
      <c r="H647" s="60"/>
      <c r="I647" s="60"/>
      <c r="J647" s="60"/>
      <c r="K647" s="59"/>
      <c r="L647" s="59"/>
      <c r="M647" s="61"/>
      <c r="N647" s="59"/>
      <c r="O647" s="59"/>
    </row>
    <row r="648" ht="14.25" customHeight="1">
      <c r="A648" s="59"/>
      <c r="B648" s="60"/>
      <c r="C648" s="60"/>
      <c r="D648" s="59"/>
      <c r="E648" s="59"/>
      <c r="F648" s="60"/>
      <c r="G648" s="60"/>
      <c r="H648" s="60"/>
      <c r="I648" s="60"/>
      <c r="J648" s="60"/>
      <c r="K648" s="59"/>
      <c r="L648" s="59"/>
      <c r="M648" s="61"/>
      <c r="N648" s="59"/>
      <c r="O648" s="59"/>
    </row>
    <row r="649" ht="14.25" customHeight="1">
      <c r="A649" s="59"/>
      <c r="B649" s="60"/>
      <c r="C649" s="60"/>
      <c r="D649" s="59"/>
      <c r="E649" s="59"/>
      <c r="F649" s="60"/>
      <c r="G649" s="60"/>
      <c r="H649" s="60"/>
      <c r="I649" s="60"/>
      <c r="J649" s="60"/>
      <c r="K649" s="59"/>
      <c r="L649" s="59"/>
      <c r="M649" s="61"/>
      <c r="N649" s="59"/>
      <c r="O649" s="59"/>
    </row>
    <row r="650" ht="14.25" customHeight="1">
      <c r="A650" s="59"/>
      <c r="B650" s="60"/>
      <c r="C650" s="60"/>
      <c r="D650" s="59"/>
      <c r="E650" s="59"/>
      <c r="F650" s="60"/>
      <c r="G650" s="60"/>
      <c r="H650" s="60"/>
      <c r="I650" s="60"/>
      <c r="J650" s="60"/>
      <c r="K650" s="59"/>
      <c r="L650" s="59"/>
      <c r="M650" s="61"/>
      <c r="N650" s="59"/>
      <c r="O650" s="59"/>
    </row>
    <row r="651" ht="14.25" customHeight="1">
      <c r="A651" s="59"/>
      <c r="B651" s="60"/>
      <c r="C651" s="60"/>
      <c r="D651" s="59"/>
      <c r="E651" s="59"/>
      <c r="F651" s="60"/>
      <c r="G651" s="60"/>
      <c r="H651" s="60"/>
      <c r="I651" s="60"/>
      <c r="J651" s="60"/>
      <c r="K651" s="59"/>
      <c r="L651" s="59"/>
      <c r="M651" s="61"/>
      <c r="N651" s="59"/>
      <c r="O651" s="59"/>
    </row>
    <row r="652" ht="14.25" customHeight="1">
      <c r="A652" s="59"/>
      <c r="B652" s="60"/>
      <c r="C652" s="60"/>
      <c r="D652" s="59"/>
      <c r="E652" s="59"/>
      <c r="F652" s="60"/>
      <c r="G652" s="60"/>
      <c r="H652" s="60"/>
      <c r="I652" s="60"/>
      <c r="J652" s="60"/>
      <c r="K652" s="59"/>
      <c r="L652" s="59"/>
      <c r="M652" s="61"/>
      <c r="N652" s="59"/>
      <c r="O652" s="59"/>
    </row>
    <row r="653" ht="14.25" customHeight="1">
      <c r="A653" s="59"/>
      <c r="B653" s="60"/>
      <c r="C653" s="60"/>
      <c r="D653" s="59"/>
      <c r="E653" s="59"/>
      <c r="F653" s="60"/>
      <c r="G653" s="60"/>
      <c r="H653" s="60"/>
      <c r="I653" s="60"/>
      <c r="J653" s="60"/>
      <c r="K653" s="59"/>
      <c r="L653" s="59"/>
      <c r="M653" s="61"/>
      <c r="N653" s="59"/>
      <c r="O653" s="59"/>
    </row>
    <row r="654" ht="14.25" customHeight="1">
      <c r="A654" s="59"/>
      <c r="B654" s="60"/>
      <c r="C654" s="60"/>
      <c r="D654" s="59"/>
      <c r="E654" s="59"/>
      <c r="F654" s="60"/>
      <c r="G654" s="60"/>
      <c r="H654" s="60"/>
      <c r="I654" s="60"/>
      <c r="J654" s="60"/>
      <c r="K654" s="59"/>
      <c r="L654" s="59"/>
      <c r="M654" s="61"/>
      <c r="N654" s="59"/>
      <c r="O654" s="59"/>
    </row>
    <row r="655" ht="14.25" customHeight="1">
      <c r="A655" s="59"/>
      <c r="B655" s="60"/>
      <c r="C655" s="60"/>
      <c r="D655" s="59"/>
      <c r="E655" s="59"/>
      <c r="F655" s="60"/>
      <c r="G655" s="60"/>
      <c r="H655" s="60"/>
      <c r="I655" s="60"/>
      <c r="J655" s="60"/>
      <c r="K655" s="59"/>
      <c r="L655" s="59"/>
      <c r="M655" s="61"/>
      <c r="N655" s="59"/>
      <c r="O655" s="59"/>
    </row>
    <row r="656" ht="14.25" customHeight="1">
      <c r="A656" s="59"/>
      <c r="B656" s="60"/>
      <c r="C656" s="60"/>
      <c r="D656" s="59"/>
      <c r="E656" s="59"/>
      <c r="F656" s="60"/>
      <c r="G656" s="60"/>
      <c r="H656" s="60"/>
      <c r="I656" s="60"/>
      <c r="J656" s="60"/>
      <c r="K656" s="59"/>
      <c r="L656" s="59"/>
      <c r="M656" s="61"/>
      <c r="N656" s="59"/>
      <c r="O656" s="59"/>
    </row>
    <row r="657" ht="14.25" customHeight="1">
      <c r="A657" s="59"/>
      <c r="B657" s="60"/>
      <c r="C657" s="60"/>
      <c r="D657" s="59"/>
      <c r="E657" s="59"/>
      <c r="F657" s="60"/>
      <c r="G657" s="60"/>
      <c r="H657" s="60"/>
      <c r="I657" s="60"/>
      <c r="J657" s="60"/>
      <c r="K657" s="59"/>
      <c r="L657" s="59"/>
      <c r="M657" s="61"/>
      <c r="N657" s="59"/>
      <c r="O657" s="59"/>
    </row>
    <row r="658" ht="14.25" customHeight="1">
      <c r="A658" s="59"/>
      <c r="B658" s="60"/>
      <c r="C658" s="60"/>
      <c r="D658" s="59"/>
      <c r="E658" s="59"/>
      <c r="F658" s="60"/>
      <c r="G658" s="60"/>
      <c r="H658" s="60"/>
      <c r="I658" s="60"/>
      <c r="J658" s="60"/>
      <c r="K658" s="59"/>
      <c r="L658" s="59"/>
      <c r="M658" s="61"/>
      <c r="N658" s="59"/>
      <c r="O658" s="59"/>
    </row>
    <row r="659" ht="14.25" customHeight="1">
      <c r="A659" s="59"/>
      <c r="B659" s="60"/>
      <c r="C659" s="60"/>
      <c r="D659" s="59"/>
      <c r="E659" s="59"/>
      <c r="F659" s="60"/>
      <c r="G659" s="60"/>
      <c r="H659" s="60"/>
      <c r="I659" s="60"/>
      <c r="J659" s="60"/>
      <c r="K659" s="59"/>
      <c r="L659" s="59"/>
      <c r="M659" s="61"/>
      <c r="N659" s="59"/>
      <c r="O659" s="59"/>
    </row>
    <row r="660" ht="14.25" customHeight="1">
      <c r="A660" s="59"/>
      <c r="B660" s="60"/>
      <c r="C660" s="60"/>
      <c r="D660" s="59"/>
      <c r="E660" s="59"/>
      <c r="F660" s="60"/>
      <c r="G660" s="60"/>
      <c r="H660" s="60"/>
      <c r="I660" s="60"/>
      <c r="J660" s="60"/>
      <c r="K660" s="59"/>
      <c r="L660" s="59"/>
      <c r="M660" s="61"/>
      <c r="N660" s="59"/>
      <c r="O660" s="59"/>
    </row>
    <row r="661" ht="14.25" customHeight="1">
      <c r="A661" s="59"/>
      <c r="B661" s="60"/>
      <c r="C661" s="60"/>
      <c r="D661" s="59"/>
      <c r="E661" s="59"/>
      <c r="F661" s="60"/>
      <c r="G661" s="60"/>
      <c r="H661" s="60"/>
      <c r="I661" s="60"/>
      <c r="J661" s="60"/>
      <c r="K661" s="59"/>
      <c r="L661" s="59"/>
      <c r="M661" s="61"/>
      <c r="N661" s="59"/>
      <c r="O661" s="59"/>
    </row>
    <row r="662" ht="14.25" customHeight="1">
      <c r="A662" s="59"/>
      <c r="B662" s="60"/>
      <c r="C662" s="60"/>
      <c r="D662" s="59"/>
      <c r="E662" s="59"/>
      <c r="F662" s="60"/>
      <c r="G662" s="60"/>
      <c r="H662" s="60"/>
      <c r="I662" s="60"/>
      <c r="J662" s="60"/>
      <c r="K662" s="59"/>
      <c r="L662" s="59"/>
      <c r="M662" s="61"/>
      <c r="N662" s="59"/>
      <c r="O662" s="59"/>
    </row>
    <row r="663" ht="14.25" customHeight="1">
      <c r="A663" s="59"/>
      <c r="B663" s="60"/>
      <c r="C663" s="60"/>
      <c r="D663" s="59"/>
      <c r="E663" s="59"/>
      <c r="F663" s="60"/>
      <c r="G663" s="60"/>
      <c r="H663" s="60"/>
      <c r="I663" s="60"/>
      <c r="J663" s="60"/>
      <c r="K663" s="59"/>
      <c r="L663" s="59"/>
      <c r="M663" s="61"/>
      <c r="N663" s="59"/>
      <c r="O663" s="59"/>
    </row>
    <row r="664" ht="14.25" customHeight="1">
      <c r="A664" s="59"/>
      <c r="B664" s="60"/>
      <c r="C664" s="60"/>
      <c r="D664" s="59"/>
      <c r="E664" s="59"/>
      <c r="F664" s="60"/>
      <c r="G664" s="60"/>
      <c r="H664" s="60"/>
      <c r="I664" s="60"/>
      <c r="J664" s="60"/>
      <c r="K664" s="59"/>
      <c r="L664" s="59"/>
      <c r="M664" s="61"/>
      <c r="N664" s="59"/>
      <c r="O664" s="59"/>
    </row>
    <row r="665" ht="14.25" customHeight="1">
      <c r="A665" s="59"/>
      <c r="B665" s="60"/>
      <c r="C665" s="60"/>
      <c r="D665" s="59"/>
      <c r="E665" s="59"/>
      <c r="F665" s="60"/>
      <c r="G665" s="60"/>
      <c r="H665" s="60"/>
      <c r="I665" s="60"/>
      <c r="J665" s="60"/>
      <c r="K665" s="59"/>
      <c r="L665" s="59"/>
      <c r="M665" s="61"/>
      <c r="N665" s="59"/>
      <c r="O665" s="59"/>
    </row>
    <row r="666" ht="14.25" customHeight="1">
      <c r="A666" s="59"/>
      <c r="B666" s="60"/>
      <c r="C666" s="60"/>
      <c r="D666" s="59"/>
      <c r="E666" s="59"/>
      <c r="F666" s="60"/>
      <c r="G666" s="60"/>
      <c r="H666" s="60"/>
      <c r="I666" s="60"/>
      <c r="J666" s="60"/>
      <c r="K666" s="59"/>
      <c r="L666" s="59"/>
      <c r="M666" s="61"/>
      <c r="N666" s="59"/>
      <c r="O666" s="59"/>
    </row>
    <row r="667" ht="14.25" customHeight="1">
      <c r="A667" s="59"/>
      <c r="B667" s="60"/>
      <c r="C667" s="60"/>
      <c r="D667" s="59"/>
      <c r="E667" s="59"/>
      <c r="F667" s="60"/>
      <c r="G667" s="60"/>
      <c r="H667" s="60"/>
      <c r="I667" s="60"/>
      <c r="J667" s="60"/>
      <c r="K667" s="59"/>
      <c r="L667" s="59"/>
      <c r="M667" s="61"/>
      <c r="N667" s="59"/>
      <c r="O667" s="59"/>
    </row>
    <row r="668" ht="14.25" customHeight="1">
      <c r="A668" s="59"/>
      <c r="B668" s="60"/>
      <c r="C668" s="60"/>
      <c r="D668" s="59"/>
      <c r="E668" s="59"/>
      <c r="F668" s="60"/>
      <c r="G668" s="60"/>
      <c r="H668" s="60"/>
      <c r="I668" s="60"/>
      <c r="J668" s="60"/>
      <c r="K668" s="59"/>
      <c r="L668" s="59"/>
      <c r="M668" s="61"/>
      <c r="N668" s="59"/>
      <c r="O668" s="59"/>
    </row>
    <row r="669" ht="14.25" customHeight="1">
      <c r="A669" s="59"/>
      <c r="B669" s="60"/>
      <c r="C669" s="60"/>
      <c r="D669" s="59"/>
      <c r="E669" s="59"/>
      <c r="F669" s="60"/>
      <c r="G669" s="60"/>
      <c r="H669" s="60"/>
      <c r="I669" s="60"/>
      <c r="J669" s="60"/>
      <c r="K669" s="59"/>
      <c r="L669" s="59"/>
      <c r="M669" s="61"/>
      <c r="N669" s="59"/>
      <c r="O669" s="59"/>
    </row>
    <row r="670" ht="14.25" customHeight="1">
      <c r="A670" s="59"/>
      <c r="B670" s="60"/>
      <c r="C670" s="60"/>
      <c r="D670" s="59"/>
      <c r="E670" s="59"/>
      <c r="F670" s="60"/>
      <c r="G670" s="60"/>
      <c r="H670" s="60"/>
      <c r="I670" s="60"/>
      <c r="J670" s="60"/>
      <c r="K670" s="59"/>
      <c r="L670" s="59"/>
      <c r="M670" s="61"/>
      <c r="N670" s="59"/>
      <c r="O670" s="59"/>
    </row>
    <row r="671" ht="14.25" customHeight="1">
      <c r="A671" s="59"/>
      <c r="B671" s="60"/>
      <c r="C671" s="60"/>
      <c r="D671" s="59"/>
      <c r="E671" s="59"/>
      <c r="F671" s="60"/>
      <c r="G671" s="60"/>
      <c r="H671" s="60"/>
      <c r="I671" s="60"/>
      <c r="J671" s="60"/>
      <c r="K671" s="59"/>
      <c r="L671" s="59"/>
      <c r="M671" s="61"/>
      <c r="N671" s="59"/>
      <c r="O671" s="59"/>
    </row>
    <row r="672" ht="14.25" customHeight="1">
      <c r="A672" s="59"/>
      <c r="B672" s="60"/>
      <c r="C672" s="60"/>
      <c r="D672" s="59"/>
      <c r="E672" s="59"/>
      <c r="F672" s="60"/>
      <c r="G672" s="60"/>
      <c r="H672" s="60"/>
      <c r="I672" s="60"/>
      <c r="J672" s="60"/>
      <c r="K672" s="59"/>
      <c r="L672" s="59"/>
      <c r="M672" s="61"/>
      <c r="N672" s="59"/>
      <c r="O672" s="59"/>
    </row>
    <row r="673" ht="14.25" customHeight="1">
      <c r="A673" s="59"/>
      <c r="B673" s="60"/>
      <c r="C673" s="60"/>
      <c r="D673" s="59"/>
      <c r="E673" s="59"/>
      <c r="F673" s="60"/>
      <c r="G673" s="60"/>
      <c r="H673" s="60"/>
      <c r="I673" s="60"/>
      <c r="J673" s="60"/>
      <c r="K673" s="59"/>
      <c r="L673" s="59"/>
      <c r="M673" s="61"/>
      <c r="N673" s="59"/>
      <c r="O673" s="59"/>
    </row>
    <row r="674" ht="14.25" customHeight="1">
      <c r="A674" s="59"/>
      <c r="B674" s="60"/>
      <c r="C674" s="60"/>
      <c r="D674" s="59"/>
      <c r="E674" s="59"/>
      <c r="F674" s="60"/>
      <c r="G674" s="60"/>
      <c r="H674" s="60"/>
      <c r="I674" s="60"/>
      <c r="J674" s="60"/>
      <c r="K674" s="59"/>
      <c r="L674" s="59"/>
      <c r="M674" s="61"/>
      <c r="N674" s="59"/>
      <c r="O674" s="59"/>
    </row>
    <row r="675" ht="14.25" customHeight="1">
      <c r="A675" s="59"/>
      <c r="B675" s="60"/>
      <c r="C675" s="60"/>
      <c r="D675" s="59"/>
      <c r="E675" s="59"/>
      <c r="F675" s="60"/>
      <c r="G675" s="60"/>
      <c r="H675" s="60"/>
      <c r="I675" s="60"/>
      <c r="J675" s="60"/>
      <c r="K675" s="59"/>
      <c r="L675" s="59"/>
      <c r="M675" s="61"/>
      <c r="N675" s="59"/>
      <c r="O675" s="59"/>
    </row>
    <row r="676" ht="14.25" customHeight="1">
      <c r="A676" s="59"/>
      <c r="B676" s="60"/>
      <c r="C676" s="60"/>
      <c r="D676" s="59"/>
      <c r="E676" s="59"/>
      <c r="F676" s="60"/>
      <c r="G676" s="60"/>
      <c r="H676" s="60"/>
      <c r="I676" s="60"/>
      <c r="J676" s="60"/>
      <c r="K676" s="59"/>
      <c r="L676" s="59"/>
      <c r="M676" s="61"/>
      <c r="N676" s="59"/>
      <c r="O676" s="59"/>
    </row>
    <row r="677" ht="14.25" customHeight="1">
      <c r="A677" s="59"/>
      <c r="B677" s="60"/>
      <c r="C677" s="60"/>
      <c r="D677" s="59"/>
      <c r="E677" s="59"/>
      <c r="F677" s="60"/>
      <c r="G677" s="60"/>
      <c r="H677" s="60"/>
      <c r="I677" s="60"/>
      <c r="J677" s="60"/>
      <c r="K677" s="59"/>
      <c r="L677" s="59"/>
      <c r="M677" s="61"/>
      <c r="N677" s="59"/>
      <c r="O677" s="59"/>
    </row>
    <row r="678" ht="14.25" customHeight="1">
      <c r="A678" s="59"/>
      <c r="B678" s="60"/>
      <c r="C678" s="60"/>
      <c r="D678" s="59"/>
      <c r="E678" s="59"/>
      <c r="F678" s="60"/>
      <c r="G678" s="60"/>
      <c r="H678" s="60"/>
      <c r="I678" s="60"/>
      <c r="J678" s="60"/>
      <c r="K678" s="59"/>
      <c r="L678" s="59"/>
      <c r="M678" s="61"/>
      <c r="N678" s="59"/>
      <c r="O678" s="59"/>
    </row>
    <row r="679" ht="14.25" customHeight="1">
      <c r="A679" s="59"/>
      <c r="B679" s="60"/>
      <c r="C679" s="60"/>
      <c r="D679" s="59"/>
      <c r="E679" s="59"/>
      <c r="F679" s="60"/>
      <c r="G679" s="60"/>
      <c r="H679" s="60"/>
      <c r="I679" s="60"/>
      <c r="J679" s="60"/>
      <c r="K679" s="59"/>
      <c r="L679" s="59"/>
      <c r="M679" s="61"/>
      <c r="N679" s="59"/>
      <c r="O679" s="59"/>
    </row>
    <row r="680" ht="14.25" customHeight="1">
      <c r="A680" s="59"/>
      <c r="B680" s="60"/>
      <c r="C680" s="60"/>
      <c r="D680" s="59"/>
      <c r="E680" s="59"/>
      <c r="F680" s="60"/>
      <c r="G680" s="60"/>
      <c r="H680" s="60"/>
      <c r="I680" s="60"/>
      <c r="J680" s="60"/>
      <c r="K680" s="59"/>
      <c r="L680" s="59"/>
      <c r="M680" s="61"/>
      <c r="N680" s="59"/>
      <c r="O680" s="59"/>
    </row>
    <row r="681" ht="14.25" customHeight="1">
      <c r="A681" s="59"/>
      <c r="B681" s="60"/>
      <c r="C681" s="60"/>
      <c r="D681" s="59"/>
      <c r="E681" s="59"/>
      <c r="F681" s="60"/>
      <c r="G681" s="60"/>
      <c r="H681" s="60"/>
      <c r="I681" s="60"/>
      <c r="J681" s="60"/>
      <c r="K681" s="59"/>
      <c r="L681" s="59"/>
      <c r="M681" s="61"/>
      <c r="N681" s="59"/>
      <c r="O681" s="59"/>
    </row>
    <row r="682" ht="14.25" customHeight="1">
      <c r="A682" s="59"/>
      <c r="B682" s="60"/>
      <c r="C682" s="60"/>
      <c r="D682" s="59"/>
      <c r="E682" s="59"/>
      <c r="F682" s="60"/>
      <c r="G682" s="60"/>
      <c r="H682" s="60"/>
      <c r="I682" s="60"/>
      <c r="J682" s="60"/>
      <c r="K682" s="59"/>
      <c r="L682" s="59"/>
      <c r="M682" s="61"/>
      <c r="N682" s="59"/>
      <c r="O682" s="59"/>
    </row>
    <row r="683" ht="14.25" customHeight="1">
      <c r="A683" s="59"/>
      <c r="B683" s="60"/>
      <c r="C683" s="60"/>
      <c r="D683" s="59"/>
      <c r="E683" s="59"/>
      <c r="F683" s="60"/>
      <c r="G683" s="60"/>
      <c r="H683" s="60"/>
      <c r="I683" s="60"/>
      <c r="J683" s="60"/>
      <c r="K683" s="59"/>
      <c r="L683" s="59"/>
      <c r="M683" s="61"/>
      <c r="N683" s="59"/>
      <c r="O683" s="59"/>
    </row>
    <row r="684" ht="14.25" customHeight="1">
      <c r="A684" s="59"/>
      <c r="B684" s="60"/>
      <c r="C684" s="60"/>
      <c r="D684" s="59"/>
      <c r="E684" s="59"/>
      <c r="F684" s="60"/>
      <c r="G684" s="60"/>
      <c r="H684" s="60"/>
      <c r="I684" s="60"/>
      <c r="J684" s="60"/>
      <c r="K684" s="59"/>
      <c r="L684" s="59"/>
      <c r="M684" s="61"/>
      <c r="N684" s="59"/>
      <c r="O684" s="59"/>
    </row>
    <row r="685" ht="14.25" customHeight="1">
      <c r="A685" s="59"/>
      <c r="B685" s="60"/>
      <c r="C685" s="60"/>
      <c r="D685" s="59"/>
      <c r="E685" s="59"/>
      <c r="F685" s="60"/>
      <c r="G685" s="60"/>
      <c r="H685" s="60"/>
      <c r="I685" s="60"/>
      <c r="J685" s="60"/>
      <c r="K685" s="59"/>
      <c r="L685" s="59"/>
      <c r="M685" s="61"/>
      <c r="N685" s="59"/>
      <c r="O685" s="59"/>
    </row>
    <row r="686" ht="14.25" customHeight="1">
      <c r="A686" s="59"/>
      <c r="B686" s="60"/>
      <c r="C686" s="60"/>
      <c r="D686" s="59"/>
      <c r="E686" s="59"/>
      <c r="F686" s="60"/>
      <c r="G686" s="60"/>
      <c r="H686" s="60"/>
      <c r="I686" s="60"/>
      <c r="J686" s="60"/>
      <c r="K686" s="59"/>
      <c r="L686" s="59"/>
      <c r="M686" s="61"/>
      <c r="N686" s="59"/>
      <c r="O686" s="59"/>
    </row>
    <row r="687" ht="14.25" customHeight="1">
      <c r="A687" s="59"/>
      <c r="B687" s="60"/>
      <c r="C687" s="60"/>
      <c r="D687" s="59"/>
      <c r="E687" s="59"/>
      <c r="F687" s="60"/>
      <c r="G687" s="60"/>
      <c r="H687" s="60"/>
      <c r="I687" s="60"/>
      <c r="J687" s="60"/>
      <c r="K687" s="59"/>
      <c r="L687" s="59"/>
      <c r="M687" s="61"/>
      <c r="N687" s="59"/>
      <c r="O687" s="59"/>
    </row>
    <row r="688" ht="14.25" customHeight="1">
      <c r="A688" s="59"/>
      <c r="B688" s="60"/>
      <c r="C688" s="60"/>
      <c r="D688" s="59"/>
      <c r="E688" s="59"/>
      <c r="F688" s="60"/>
      <c r="G688" s="60"/>
      <c r="H688" s="60"/>
      <c r="I688" s="60"/>
      <c r="J688" s="60"/>
      <c r="K688" s="59"/>
      <c r="L688" s="59"/>
      <c r="M688" s="61"/>
      <c r="N688" s="59"/>
      <c r="O688" s="59"/>
    </row>
    <row r="689" ht="14.25" customHeight="1">
      <c r="A689" s="59"/>
      <c r="B689" s="60"/>
      <c r="C689" s="60"/>
      <c r="D689" s="59"/>
      <c r="E689" s="59"/>
      <c r="F689" s="60"/>
      <c r="G689" s="60"/>
      <c r="H689" s="60"/>
      <c r="I689" s="60"/>
      <c r="J689" s="60"/>
      <c r="K689" s="59"/>
      <c r="L689" s="59"/>
      <c r="M689" s="61"/>
      <c r="N689" s="59"/>
      <c r="O689" s="59"/>
    </row>
    <row r="690" ht="14.25" customHeight="1">
      <c r="A690" s="59"/>
      <c r="B690" s="60"/>
      <c r="C690" s="60"/>
      <c r="D690" s="59"/>
      <c r="E690" s="59"/>
      <c r="F690" s="60"/>
      <c r="G690" s="60"/>
      <c r="H690" s="60"/>
      <c r="I690" s="60"/>
      <c r="J690" s="60"/>
      <c r="K690" s="59"/>
      <c r="L690" s="59"/>
      <c r="M690" s="61"/>
      <c r="N690" s="59"/>
      <c r="O690" s="59"/>
    </row>
    <row r="691" ht="14.25" customHeight="1">
      <c r="A691" s="59"/>
      <c r="B691" s="60"/>
      <c r="C691" s="60"/>
      <c r="D691" s="59"/>
      <c r="E691" s="59"/>
      <c r="F691" s="60"/>
      <c r="G691" s="60"/>
      <c r="H691" s="60"/>
      <c r="I691" s="60"/>
      <c r="J691" s="60"/>
      <c r="K691" s="59"/>
      <c r="L691" s="59"/>
      <c r="M691" s="61"/>
      <c r="N691" s="59"/>
      <c r="O691" s="59"/>
    </row>
    <row r="692" ht="14.25" customHeight="1">
      <c r="A692" s="59"/>
      <c r="B692" s="60"/>
      <c r="C692" s="60"/>
      <c r="D692" s="59"/>
      <c r="E692" s="59"/>
      <c r="F692" s="60"/>
      <c r="G692" s="60"/>
      <c r="H692" s="60"/>
      <c r="I692" s="60"/>
      <c r="J692" s="60"/>
      <c r="K692" s="59"/>
      <c r="L692" s="59"/>
      <c r="M692" s="61"/>
      <c r="N692" s="59"/>
      <c r="O692" s="59"/>
    </row>
    <row r="693" ht="14.25" customHeight="1">
      <c r="A693" s="59"/>
      <c r="B693" s="60"/>
      <c r="C693" s="60"/>
      <c r="D693" s="59"/>
      <c r="E693" s="59"/>
      <c r="F693" s="60"/>
      <c r="G693" s="60"/>
      <c r="H693" s="60"/>
      <c r="I693" s="60"/>
      <c r="J693" s="60"/>
      <c r="K693" s="59"/>
      <c r="L693" s="59"/>
      <c r="M693" s="61"/>
      <c r="N693" s="59"/>
      <c r="O693" s="59"/>
    </row>
    <row r="694" ht="14.25" customHeight="1">
      <c r="A694" s="59"/>
      <c r="B694" s="60"/>
      <c r="C694" s="60"/>
      <c r="D694" s="59"/>
      <c r="E694" s="59"/>
      <c r="F694" s="60"/>
      <c r="G694" s="60"/>
      <c r="H694" s="60"/>
      <c r="I694" s="60"/>
      <c r="J694" s="60"/>
      <c r="K694" s="59"/>
      <c r="L694" s="59"/>
      <c r="M694" s="61"/>
      <c r="N694" s="59"/>
      <c r="O694" s="59"/>
    </row>
    <row r="695" ht="14.25" customHeight="1">
      <c r="A695" s="59"/>
      <c r="B695" s="60"/>
      <c r="C695" s="60"/>
      <c r="D695" s="59"/>
      <c r="E695" s="59"/>
      <c r="F695" s="60"/>
      <c r="G695" s="60"/>
      <c r="H695" s="60"/>
      <c r="I695" s="60"/>
      <c r="J695" s="60"/>
      <c r="K695" s="59"/>
      <c r="L695" s="59"/>
      <c r="M695" s="61"/>
      <c r="N695" s="59"/>
      <c r="O695" s="59"/>
    </row>
    <row r="696" ht="14.25" customHeight="1">
      <c r="A696" s="59"/>
      <c r="B696" s="60"/>
      <c r="C696" s="60"/>
      <c r="D696" s="59"/>
      <c r="E696" s="59"/>
      <c r="F696" s="60"/>
      <c r="G696" s="60"/>
      <c r="H696" s="60"/>
      <c r="I696" s="60"/>
      <c r="J696" s="60"/>
      <c r="K696" s="59"/>
      <c r="L696" s="59"/>
      <c r="M696" s="61"/>
      <c r="N696" s="59"/>
      <c r="O696" s="59"/>
    </row>
    <row r="697" ht="14.25" customHeight="1">
      <c r="A697" s="59"/>
      <c r="B697" s="60"/>
      <c r="C697" s="60"/>
      <c r="D697" s="59"/>
      <c r="E697" s="59"/>
      <c r="F697" s="60"/>
      <c r="G697" s="60"/>
      <c r="H697" s="60"/>
      <c r="I697" s="60"/>
      <c r="J697" s="60"/>
      <c r="K697" s="59"/>
      <c r="L697" s="59"/>
      <c r="M697" s="61"/>
      <c r="N697" s="59"/>
      <c r="O697" s="59"/>
    </row>
    <row r="698" ht="14.25" customHeight="1">
      <c r="A698" s="59"/>
      <c r="B698" s="60"/>
      <c r="C698" s="60"/>
      <c r="D698" s="59"/>
      <c r="E698" s="59"/>
      <c r="F698" s="60"/>
      <c r="G698" s="60"/>
      <c r="H698" s="60"/>
      <c r="I698" s="60"/>
      <c r="J698" s="60"/>
      <c r="K698" s="59"/>
      <c r="L698" s="59"/>
      <c r="M698" s="61"/>
      <c r="N698" s="59"/>
      <c r="O698" s="59"/>
    </row>
    <row r="699" ht="14.25" customHeight="1">
      <c r="A699" s="59"/>
      <c r="B699" s="60"/>
      <c r="C699" s="60"/>
      <c r="D699" s="59"/>
      <c r="E699" s="59"/>
      <c r="F699" s="60"/>
      <c r="G699" s="60"/>
      <c r="H699" s="60"/>
      <c r="I699" s="60"/>
      <c r="J699" s="60"/>
      <c r="K699" s="59"/>
      <c r="L699" s="59"/>
      <c r="M699" s="61"/>
      <c r="N699" s="59"/>
      <c r="O699" s="59"/>
    </row>
    <row r="700" ht="14.25" customHeight="1">
      <c r="A700" s="59"/>
      <c r="B700" s="60"/>
      <c r="C700" s="60"/>
      <c r="D700" s="59"/>
      <c r="E700" s="59"/>
      <c r="F700" s="60"/>
      <c r="G700" s="60"/>
      <c r="H700" s="60"/>
      <c r="I700" s="60"/>
      <c r="J700" s="60"/>
      <c r="K700" s="59"/>
      <c r="L700" s="59"/>
      <c r="M700" s="61"/>
      <c r="N700" s="59"/>
      <c r="O700" s="59"/>
    </row>
    <row r="701" ht="14.25" customHeight="1">
      <c r="A701" s="59"/>
      <c r="B701" s="60"/>
      <c r="C701" s="60"/>
      <c r="D701" s="59"/>
      <c r="E701" s="59"/>
      <c r="F701" s="60"/>
      <c r="G701" s="60"/>
      <c r="H701" s="60"/>
      <c r="I701" s="60"/>
      <c r="J701" s="60"/>
      <c r="K701" s="59"/>
      <c r="L701" s="59"/>
      <c r="M701" s="61"/>
      <c r="N701" s="59"/>
      <c r="O701" s="59"/>
    </row>
    <row r="702" ht="14.25" customHeight="1">
      <c r="A702" s="59"/>
      <c r="B702" s="60"/>
      <c r="C702" s="60"/>
      <c r="D702" s="59"/>
      <c r="E702" s="59"/>
      <c r="F702" s="60"/>
      <c r="G702" s="60"/>
      <c r="H702" s="60"/>
      <c r="I702" s="60"/>
      <c r="J702" s="60"/>
      <c r="K702" s="59"/>
      <c r="L702" s="59"/>
      <c r="M702" s="61"/>
      <c r="N702" s="59"/>
      <c r="O702" s="59"/>
    </row>
    <row r="703" ht="14.25" customHeight="1">
      <c r="A703" s="59"/>
      <c r="B703" s="60"/>
      <c r="C703" s="60"/>
      <c r="D703" s="59"/>
      <c r="E703" s="59"/>
      <c r="F703" s="60"/>
      <c r="G703" s="60"/>
      <c r="H703" s="60"/>
      <c r="I703" s="60"/>
      <c r="J703" s="60"/>
      <c r="K703" s="59"/>
      <c r="L703" s="59"/>
      <c r="M703" s="61"/>
      <c r="N703" s="59"/>
      <c r="O703" s="59"/>
    </row>
    <row r="704" ht="14.25" customHeight="1">
      <c r="A704" s="59"/>
      <c r="B704" s="60"/>
      <c r="C704" s="60"/>
      <c r="D704" s="59"/>
      <c r="E704" s="59"/>
      <c r="F704" s="60"/>
      <c r="G704" s="60"/>
      <c r="H704" s="60"/>
      <c r="I704" s="60"/>
      <c r="J704" s="60"/>
      <c r="K704" s="59"/>
      <c r="L704" s="59"/>
      <c r="M704" s="61"/>
      <c r="N704" s="59"/>
      <c r="O704" s="59"/>
    </row>
    <row r="705" ht="14.25" customHeight="1">
      <c r="A705" s="59"/>
      <c r="B705" s="60"/>
      <c r="C705" s="60"/>
      <c r="D705" s="59"/>
      <c r="E705" s="59"/>
      <c r="F705" s="60"/>
      <c r="G705" s="60"/>
      <c r="H705" s="60"/>
      <c r="I705" s="60"/>
      <c r="J705" s="60"/>
      <c r="K705" s="59"/>
      <c r="L705" s="59"/>
      <c r="M705" s="61"/>
      <c r="N705" s="59"/>
      <c r="O705" s="59"/>
    </row>
    <row r="706" ht="14.25" customHeight="1">
      <c r="A706" s="59"/>
      <c r="B706" s="60"/>
      <c r="C706" s="60"/>
      <c r="D706" s="59"/>
      <c r="E706" s="59"/>
      <c r="F706" s="60"/>
      <c r="G706" s="60"/>
      <c r="H706" s="60"/>
      <c r="I706" s="60"/>
      <c r="J706" s="60"/>
      <c r="K706" s="59"/>
      <c r="L706" s="59"/>
      <c r="M706" s="61"/>
      <c r="N706" s="59"/>
      <c r="O706" s="59"/>
    </row>
    <row r="707" ht="14.25" customHeight="1">
      <c r="A707" s="59"/>
      <c r="B707" s="60"/>
      <c r="C707" s="60"/>
      <c r="D707" s="59"/>
      <c r="E707" s="59"/>
      <c r="F707" s="60"/>
      <c r="G707" s="60"/>
      <c r="H707" s="60"/>
      <c r="I707" s="60"/>
      <c r="J707" s="60"/>
      <c r="K707" s="59"/>
      <c r="L707" s="59"/>
      <c r="M707" s="61"/>
      <c r="N707" s="59"/>
      <c r="O707" s="59"/>
    </row>
    <row r="708" ht="14.25" customHeight="1">
      <c r="A708" s="59"/>
      <c r="B708" s="60"/>
      <c r="C708" s="60"/>
      <c r="D708" s="59"/>
      <c r="E708" s="59"/>
      <c r="F708" s="60"/>
      <c r="G708" s="60"/>
      <c r="H708" s="60"/>
      <c r="I708" s="60"/>
      <c r="J708" s="60"/>
      <c r="K708" s="59"/>
      <c r="L708" s="59"/>
      <c r="M708" s="61"/>
      <c r="N708" s="59"/>
      <c r="O708" s="59"/>
    </row>
    <row r="709" ht="14.25" customHeight="1">
      <c r="A709" s="59"/>
      <c r="B709" s="60"/>
      <c r="C709" s="60"/>
      <c r="D709" s="59"/>
      <c r="E709" s="59"/>
      <c r="F709" s="60"/>
      <c r="G709" s="60"/>
      <c r="H709" s="60"/>
      <c r="I709" s="60"/>
      <c r="J709" s="60"/>
      <c r="K709" s="59"/>
      <c r="L709" s="59"/>
      <c r="M709" s="61"/>
      <c r="N709" s="59"/>
      <c r="O709" s="59"/>
    </row>
    <row r="710" ht="14.25" customHeight="1">
      <c r="A710" s="59"/>
      <c r="B710" s="60"/>
      <c r="C710" s="60"/>
      <c r="D710" s="59"/>
      <c r="E710" s="59"/>
      <c r="F710" s="60"/>
      <c r="G710" s="60"/>
      <c r="H710" s="60"/>
      <c r="I710" s="60"/>
      <c r="J710" s="60"/>
      <c r="K710" s="59"/>
      <c r="L710" s="59"/>
      <c r="M710" s="61"/>
      <c r="N710" s="59"/>
      <c r="O710" s="59"/>
    </row>
    <row r="711" ht="14.25" customHeight="1">
      <c r="A711" s="59"/>
      <c r="B711" s="60"/>
      <c r="C711" s="60"/>
      <c r="D711" s="59"/>
      <c r="E711" s="59"/>
      <c r="F711" s="60"/>
      <c r="G711" s="60"/>
      <c r="H711" s="60"/>
      <c r="I711" s="60"/>
      <c r="J711" s="60"/>
      <c r="K711" s="59"/>
      <c r="L711" s="59"/>
      <c r="M711" s="61"/>
      <c r="N711" s="59"/>
      <c r="O711" s="59"/>
    </row>
    <row r="712" ht="14.25" customHeight="1">
      <c r="A712" s="59"/>
      <c r="B712" s="60"/>
      <c r="C712" s="60"/>
      <c r="D712" s="59"/>
      <c r="E712" s="59"/>
      <c r="F712" s="60"/>
      <c r="G712" s="60"/>
      <c r="H712" s="60"/>
      <c r="I712" s="60"/>
      <c r="J712" s="60"/>
      <c r="K712" s="59"/>
      <c r="L712" s="59"/>
      <c r="M712" s="61"/>
      <c r="N712" s="59"/>
      <c r="O712" s="59"/>
    </row>
    <row r="713" ht="14.25" customHeight="1">
      <c r="A713" s="59"/>
      <c r="B713" s="60"/>
      <c r="C713" s="60"/>
      <c r="D713" s="59"/>
      <c r="E713" s="59"/>
      <c r="F713" s="60"/>
      <c r="G713" s="60"/>
      <c r="H713" s="60"/>
      <c r="I713" s="60"/>
      <c r="J713" s="60"/>
      <c r="K713" s="59"/>
      <c r="L713" s="59"/>
      <c r="M713" s="61"/>
      <c r="N713" s="59"/>
      <c r="O713" s="59"/>
    </row>
    <row r="714" ht="14.25" customHeight="1">
      <c r="A714" s="59"/>
      <c r="B714" s="60"/>
      <c r="C714" s="60"/>
      <c r="D714" s="59"/>
      <c r="E714" s="59"/>
      <c r="F714" s="60"/>
      <c r="G714" s="60"/>
      <c r="H714" s="60"/>
      <c r="I714" s="60"/>
      <c r="J714" s="60"/>
      <c r="K714" s="59"/>
      <c r="L714" s="59"/>
      <c r="M714" s="61"/>
      <c r="N714" s="59"/>
      <c r="O714" s="59"/>
    </row>
    <row r="715" ht="14.25" customHeight="1">
      <c r="A715" s="59"/>
      <c r="B715" s="60"/>
      <c r="C715" s="60"/>
      <c r="D715" s="59"/>
      <c r="E715" s="59"/>
      <c r="F715" s="60"/>
      <c r="G715" s="60"/>
      <c r="H715" s="60"/>
      <c r="I715" s="60"/>
      <c r="J715" s="60"/>
      <c r="K715" s="59"/>
      <c r="L715" s="59"/>
      <c r="M715" s="61"/>
      <c r="N715" s="59"/>
      <c r="O715" s="59"/>
    </row>
    <row r="716" ht="14.25" customHeight="1">
      <c r="A716" s="59"/>
      <c r="B716" s="60"/>
      <c r="C716" s="60"/>
      <c r="D716" s="59"/>
      <c r="E716" s="59"/>
      <c r="F716" s="60"/>
      <c r="G716" s="60"/>
      <c r="H716" s="60"/>
      <c r="I716" s="60"/>
      <c r="J716" s="60"/>
      <c r="K716" s="59"/>
      <c r="L716" s="59"/>
      <c r="M716" s="61"/>
      <c r="N716" s="59"/>
      <c r="O716" s="59"/>
    </row>
    <row r="717" ht="14.25" customHeight="1">
      <c r="A717" s="59"/>
      <c r="B717" s="60"/>
      <c r="C717" s="60"/>
      <c r="D717" s="59"/>
      <c r="E717" s="59"/>
      <c r="F717" s="60"/>
      <c r="G717" s="60"/>
      <c r="H717" s="60"/>
      <c r="I717" s="60"/>
      <c r="J717" s="60"/>
      <c r="K717" s="59"/>
      <c r="L717" s="59"/>
      <c r="M717" s="61"/>
      <c r="N717" s="59"/>
      <c r="O717" s="59"/>
    </row>
    <row r="718" ht="14.25" customHeight="1">
      <c r="A718" s="59"/>
      <c r="B718" s="60"/>
      <c r="C718" s="60"/>
      <c r="D718" s="59"/>
      <c r="E718" s="59"/>
      <c r="F718" s="60"/>
      <c r="G718" s="60"/>
      <c r="H718" s="60"/>
      <c r="I718" s="60"/>
      <c r="J718" s="60"/>
      <c r="K718" s="59"/>
      <c r="L718" s="59"/>
      <c r="M718" s="61"/>
      <c r="N718" s="59"/>
      <c r="O718" s="59"/>
    </row>
    <row r="719" ht="14.25" customHeight="1">
      <c r="A719" s="59"/>
      <c r="B719" s="60"/>
      <c r="C719" s="60"/>
      <c r="D719" s="59"/>
      <c r="E719" s="59"/>
      <c r="F719" s="60"/>
      <c r="G719" s="60"/>
      <c r="H719" s="60"/>
      <c r="I719" s="60"/>
      <c r="J719" s="60"/>
      <c r="K719" s="59"/>
      <c r="L719" s="59"/>
      <c r="M719" s="61"/>
      <c r="N719" s="59"/>
      <c r="O719" s="59"/>
    </row>
    <row r="720" ht="14.25" customHeight="1">
      <c r="A720" s="59"/>
      <c r="B720" s="60"/>
      <c r="C720" s="60"/>
      <c r="D720" s="59"/>
      <c r="E720" s="59"/>
      <c r="F720" s="60"/>
      <c r="G720" s="60"/>
      <c r="H720" s="60"/>
      <c r="I720" s="60"/>
      <c r="J720" s="60"/>
      <c r="K720" s="59"/>
      <c r="L720" s="59"/>
      <c r="M720" s="61"/>
      <c r="N720" s="59"/>
      <c r="O720" s="59"/>
    </row>
    <row r="721" ht="14.25" customHeight="1">
      <c r="A721" s="59"/>
      <c r="B721" s="60"/>
      <c r="C721" s="60"/>
      <c r="D721" s="59"/>
      <c r="E721" s="59"/>
      <c r="F721" s="60"/>
      <c r="G721" s="60"/>
      <c r="H721" s="60"/>
      <c r="I721" s="60"/>
      <c r="J721" s="60"/>
      <c r="K721" s="59"/>
      <c r="L721" s="59"/>
      <c r="M721" s="61"/>
      <c r="N721" s="59"/>
      <c r="O721" s="59"/>
    </row>
    <row r="722" ht="14.25" customHeight="1">
      <c r="A722" s="59"/>
      <c r="B722" s="60"/>
      <c r="C722" s="60"/>
      <c r="D722" s="59"/>
      <c r="E722" s="59"/>
      <c r="F722" s="60"/>
      <c r="G722" s="60"/>
      <c r="H722" s="60"/>
      <c r="I722" s="60"/>
      <c r="J722" s="60"/>
      <c r="K722" s="59"/>
      <c r="L722" s="59"/>
      <c r="M722" s="61"/>
      <c r="N722" s="59"/>
      <c r="O722" s="59"/>
    </row>
    <row r="723" ht="14.25" customHeight="1">
      <c r="A723" s="59"/>
      <c r="B723" s="60"/>
      <c r="C723" s="60"/>
      <c r="D723" s="59"/>
      <c r="E723" s="59"/>
      <c r="F723" s="60"/>
      <c r="G723" s="60"/>
      <c r="H723" s="60"/>
      <c r="I723" s="60"/>
      <c r="J723" s="60"/>
      <c r="K723" s="59"/>
      <c r="L723" s="59"/>
      <c r="M723" s="61"/>
      <c r="N723" s="59"/>
      <c r="O723" s="59"/>
    </row>
    <row r="724" ht="14.25" customHeight="1">
      <c r="A724" s="59"/>
      <c r="B724" s="60"/>
      <c r="C724" s="60"/>
      <c r="D724" s="59"/>
      <c r="E724" s="59"/>
      <c r="F724" s="60"/>
      <c r="G724" s="60"/>
      <c r="H724" s="60"/>
      <c r="I724" s="60"/>
      <c r="J724" s="60"/>
      <c r="K724" s="59"/>
      <c r="L724" s="59"/>
      <c r="M724" s="61"/>
      <c r="N724" s="59"/>
      <c r="O724" s="59"/>
    </row>
    <row r="725" ht="14.25" customHeight="1">
      <c r="A725" s="59"/>
      <c r="B725" s="60"/>
      <c r="C725" s="60"/>
      <c r="D725" s="59"/>
      <c r="E725" s="59"/>
      <c r="F725" s="60"/>
      <c r="G725" s="60"/>
      <c r="H725" s="60"/>
      <c r="I725" s="60"/>
      <c r="J725" s="60"/>
      <c r="K725" s="59"/>
      <c r="L725" s="59"/>
      <c r="M725" s="61"/>
      <c r="N725" s="59"/>
      <c r="O725" s="59"/>
    </row>
    <row r="726" ht="14.25" customHeight="1">
      <c r="A726" s="59"/>
      <c r="B726" s="60"/>
      <c r="C726" s="60"/>
      <c r="D726" s="59"/>
      <c r="E726" s="59"/>
      <c r="F726" s="60"/>
      <c r="G726" s="60"/>
      <c r="H726" s="60"/>
      <c r="I726" s="60"/>
      <c r="J726" s="60"/>
      <c r="K726" s="59"/>
      <c r="L726" s="59"/>
      <c r="M726" s="61"/>
      <c r="N726" s="59"/>
      <c r="O726" s="59"/>
    </row>
    <row r="727" ht="14.25" customHeight="1">
      <c r="A727" s="59"/>
      <c r="B727" s="60"/>
      <c r="C727" s="60"/>
      <c r="D727" s="59"/>
      <c r="E727" s="59"/>
      <c r="F727" s="60"/>
      <c r="G727" s="60"/>
      <c r="H727" s="60"/>
      <c r="I727" s="60"/>
      <c r="J727" s="60"/>
      <c r="K727" s="59"/>
      <c r="L727" s="59"/>
      <c r="M727" s="61"/>
      <c r="N727" s="59"/>
      <c r="O727" s="59"/>
    </row>
    <row r="728" ht="14.25" customHeight="1">
      <c r="A728" s="59"/>
      <c r="B728" s="60"/>
      <c r="C728" s="60"/>
      <c r="D728" s="59"/>
      <c r="E728" s="59"/>
      <c r="F728" s="60"/>
      <c r="G728" s="60"/>
      <c r="H728" s="60"/>
      <c r="I728" s="60"/>
      <c r="J728" s="60"/>
      <c r="K728" s="59"/>
      <c r="L728" s="59"/>
      <c r="M728" s="61"/>
      <c r="N728" s="59"/>
      <c r="O728" s="59"/>
    </row>
    <row r="729" ht="14.25" customHeight="1">
      <c r="A729" s="59"/>
      <c r="B729" s="60"/>
      <c r="C729" s="60"/>
      <c r="D729" s="59"/>
      <c r="E729" s="59"/>
      <c r="F729" s="60"/>
      <c r="G729" s="60"/>
      <c r="H729" s="60"/>
      <c r="I729" s="60"/>
      <c r="J729" s="60"/>
      <c r="K729" s="59"/>
      <c r="L729" s="59"/>
      <c r="M729" s="61"/>
      <c r="N729" s="59"/>
      <c r="O729" s="59"/>
    </row>
    <row r="730" ht="14.25" customHeight="1">
      <c r="A730" s="59"/>
      <c r="B730" s="60"/>
      <c r="C730" s="60"/>
      <c r="D730" s="59"/>
      <c r="E730" s="59"/>
      <c r="F730" s="60"/>
      <c r="G730" s="60"/>
      <c r="H730" s="60"/>
      <c r="I730" s="60"/>
      <c r="J730" s="60"/>
      <c r="K730" s="59"/>
      <c r="L730" s="59"/>
      <c r="M730" s="61"/>
      <c r="N730" s="59"/>
      <c r="O730" s="59"/>
    </row>
    <row r="731" ht="14.25" customHeight="1">
      <c r="A731" s="59"/>
      <c r="B731" s="60"/>
      <c r="C731" s="60"/>
      <c r="D731" s="59"/>
      <c r="E731" s="59"/>
      <c r="F731" s="60"/>
      <c r="G731" s="60"/>
      <c r="H731" s="60"/>
      <c r="I731" s="60"/>
      <c r="J731" s="60"/>
      <c r="K731" s="59"/>
      <c r="L731" s="59"/>
      <c r="M731" s="61"/>
      <c r="N731" s="59"/>
      <c r="O731" s="59"/>
    </row>
    <row r="732" ht="14.25" customHeight="1">
      <c r="A732" s="59"/>
      <c r="B732" s="60"/>
      <c r="C732" s="60"/>
      <c r="D732" s="59"/>
      <c r="E732" s="59"/>
      <c r="F732" s="60"/>
      <c r="G732" s="60"/>
      <c r="H732" s="60"/>
      <c r="I732" s="60"/>
      <c r="J732" s="60"/>
      <c r="K732" s="59"/>
      <c r="L732" s="59"/>
      <c r="M732" s="61"/>
      <c r="N732" s="59"/>
      <c r="O732" s="59"/>
    </row>
    <row r="733" ht="14.25" customHeight="1">
      <c r="A733" s="59"/>
      <c r="B733" s="60"/>
      <c r="C733" s="60"/>
      <c r="D733" s="59"/>
      <c r="E733" s="59"/>
      <c r="F733" s="60"/>
      <c r="G733" s="60"/>
      <c r="H733" s="60"/>
      <c r="I733" s="60"/>
      <c r="J733" s="60"/>
      <c r="K733" s="59"/>
      <c r="L733" s="59"/>
      <c r="M733" s="61"/>
      <c r="N733" s="59"/>
      <c r="O733" s="59"/>
    </row>
    <row r="734" ht="14.25" customHeight="1">
      <c r="A734" s="59"/>
      <c r="B734" s="60"/>
      <c r="C734" s="60"/>
      <c r="D734" s="59"/>
      <c r="E734" s="59"/>
      <c r="F734" s="60"/>
      <c r="G734" s="60"/>
      <c r="H734" s="60"/>
      <c r="I734" s="60"/>
      <c r="J734" s="60"/>
      <c r="K734" s="59"/>
      <c r="L734" s="59"/>
      <c r="M734" s="61"/>
      <c r="N734" s="59"/>
      <c r="O734" s="59"/>
    </row>
    <row r="735" ht="14.25" customHeight="1">
      <c r="A735" s="59"/>
      <c r="B735" s="60"/>
      <c r="C735" s="60"/>
      <c r="D735" s="59"/>
      <c r="E735" s="59"/>
      <c r="F735" s="60"/>
      <c r="G735" s="60"/>
      <c r="H735" s="60"/>
      <c r="I735" s="60"/>
      <c r="J735" s="60"/>
      <c r="K735" s="59"/>
      <c r="L735" s="59"/>
      <c r="M735" s="61"/>
      <c r="N735" s="59"/>
      <c r="O735" s="59"/>
    </row>
    <row r="736" ht="14.25" customHeight="1">
      <c r="A736" s="59"/>
      <c r="B736" s="60"/>
      <c r="C736" s="60"/>
      <c r="D736" s="59"/>
      <c r="E736" s="59"/>
      <c r="F736" s="60"/>
      <c r="G736" s="60"/>
      <c r="H736" s="60"/>
      <c r="I736" s="60"/>
      <c r="J736" s="60"/>
      <c r="K736" s="59"/>
      <c r="L736" s="59"/>
      <c r="M736" s="61"/>
      <c r="N736" s="59"/>
      <c r="O736" s="59"/>
    </row>
    <row r="737" ht="14.25" customHeight="1">
      <c r="A737" s="59"/>
      <c r="B737" s="60"/>
      <c r="C737" s="60"/>
      <c r="D737" s="59"/>
      <c r="E737" s="59"/>
      <c r="F737" s="60"/>
      <c r="G737" s="60"/>
      <c r="H737" s="60"/>
      <c r="I737" s="60"/>
      <c r="J737" s="60"/>
      <c r="K737" s="59"/>
      <c r="L737" s="59"/>
      <c r="M737" s="61"/>
      <c r="N737" s="59"/>
      <c r="O737" s="59"/>
    </row>
    <row r="738" ht="14.25" customHeight="1">
      <c r="A738" s="59"/>
      <c r="B738" s="60"/>
      <c r="C738" s="60"/>
      <c r="D738" s="59"/>
      <c r="E738" s="59"/>
      <c r="F738" s="60"/>
      <c r="G738" s="60"/>
      <c r="H738" s="60"/>
      <c r="I738" s="60"/>
      <c r="J738" s="60"/>
      <c r="K738" s="59"/>
      <c r="L738" s="59"/>
      <c r="M738" s="61"/>
      <c r="N738" s="59"/>
      <c r="O738" s="59"/>
    </row>
    <row r="739" ht="14.25" customHeight="1">
      <c r="A739" s="59"/>
      <c r="B739" s="60"/>
      <c r="C739" s="60"/>
      <c r="D739" s="59"/>
      <c r="E739" s="59"/>
      <c r="F739" s="60"/>
      <c r="G739" s="60"/>
      <c r="H739" s="60"/>
      <c r="I739" s="60"/>
      <c r="J739" s="60"/>
      <c r="K739" s="59"/>
      <c r="L739" s="59"/>
      <c r="M739" s="61"/>
      <c r="N739" s="59"/>
      <c r="O739" s="59"/>
    </row>
    <row r="740" ht="14.25" customHeight="1">
      <c r="A740" s="59"/>
      <c r="B740" s="60"/>
      <c r="C740" s="60"/>
      <c r="D740" s="59"/>
      <c r="E740" s="59"/>
      <c r="F740" s="60"/>
      <c r="G740" s="60"/>
      <c r="H740" s="60"/>
      <c r="I740" s="60"/>
      <c r="J740" s="60"/>
      <c r="K740" s="59"/>
      <c r="L740" s="59"/>
      <c r="M740" s="61"/>
      <c r="N740" s="59"/>
      <c r="O740" s="59"/>
    </row>
    <row r="741" ht="14.25" customHeight="1">
      <c r="A741" s="59"/>
      <c r="B741" s="60"/>
      <c r="C741" s="60"/>
      <c r="D741" s="59"/>
      <c r="E741" s="59"/>
      <c r="F741" s="60"/>
      <c r="G741" s="60"/>
      <c r="H741" s="60"/>
      <c r="I741" s="60"/>
      <c r="J741" s="60"/>
      <c r="K741" s="59"/>
      <c r="L741" s="59"/>
      <c r="M741" s="61"/>
      <c r="N741" s="59"/>
      <c r="O741" s="59"/>
    </row>
    <row r="742" ht="14.25" customHeight="1">
      <c r="A742" s="59"/>
      <c r="B742" s="60"/>
      <c r="C742" s="60"/>
      <c r="D742" s="59"/>
      <c r="E742" s="59"/>
      <c r="F742" s="60"/>
      <c r="G742" s="60"/>
      <c r="H742" s="60"/>
      <c r="I742" s="60"/>
      <c r="J742" s="60"/>
      <c r="K742" s="59"/>
      <c r="L742" s="59"/>
      <c r="M742" s="61"/>
      <c r="N742" s="59"/>
      <c r="O742" s="59"/>
    </row>
    <row r="743" ht="14.25" customHeight="1">
      <c r="A743" s="59"/>
      <c r="B743" s="60"/>
      <c r="C743" s="60"/>
      <c r="D743" s="59"/>
      <c r="E743" s="59"/>
      <c r="F743" s="60"/>
      <c r="G743" s="60"/>
      <c r="H743" s="60"/>
      <c r="I743" s="60"/>
      <c r="J743" s="60"/>
      <c r="K743" s="59"/>
      <c r="L743" s="59"/>
      <c r="M743" s="61"/>
      <c r="N743" s="59"/>
      <c r="O743" s="59"/>
    </row>
    <row r="744" ht="14.25" customHeight="1">
      <c r="A744" s="59"/>
      <c r="B744" s="60"/>
      <c r="C744" s="60"/>
      <c r="D744" s="59"/>
      <c r="E744" s="59"/>
      <c r="F744" s="60"/>
      <c r="G744" s="60"/>
      <c r="H744" s="60"/>
      <c r="I744" s="60"/>
      <c r="J744" s="60"/>
      <c r="K744" s="59"/>
      <c r="L744" s="59"/>
      <c r="M744" s="61"/>
      <c r="N744" s="59"/>
      <c r="O744" s="59"/>
    </row>
    <row r="745" ht="14.25" customHeight="1">
      <c r="A745" s="59"/>
      <c r="B745" s="60"/>
      <c r="C745" s="60"/>
      <c r="D745" s="59"/>
      <c r="E745" s="59"/>
      <c r="F745" s="60"/>
      <c r="G745" s="60"/>
      <c r="H745" s="60"/>
      <c r="I745" s="60"/>
      <c r="J745" s="60"/>
      <c r="K745" s="59"/>
      <c r="L745" s="59"/>
      <c r="M745" s="61"/>
      <c r="N745" s="59"/>
      <c r="O745" s="59"/>
    </row>
    <row r="746" ht="14.25" customHeight="1">
      <c r="A746" s="59"/>
      <c r="B746" s="60"/>
      <c r="C746" s="60"/>
      <c r="D746" s="59"/>
      <c r="E746" s="59"/>
      <c r="F746" s="60"/>
      <c r="G746" s="60"/>
      <c r="H746" s="60"/>
      <c r="I746" s="60"/>
      <c r="J746" s="60"/>
      <c r="K746" s="59"/>
      <c r="L746" s="59"/>
      <c r="M746" s="61"/>
      <c r="N746" s="59"/>
      <c r="O746" s="59"/>
    </row>
    <row r="747" ht="14.25" customHeight="1">
      <c r="A747" s="59"/>
      <c r="B747" s="60"/>
      <c r="C747" s="60"/>
      <c r="D747" s="59"/>
      <c r="E747" s="59"/>
      <c r="F747" s="60"/>
      <c r="G747" s="60"/>
      <c r="H747" s="60"/>
      <c r="I747" s="60"/>
      <c r="J747" s="60"/>
      <c r="K747" s="59"/>
      <c r="L747" s="59"/>
      <c r="M747" s="61"/>
      <c r="N747" s="59"/>
      <c r="O747" s="59"/>
    </row>
    <row r="748" ht="14.25" customHeight="1">
      <c r="A748" s="59"/>
      <c r="B748" s="60"/>
      <c r="C748" s="60"/>
      <c r="D748" s="59"/>
      <c r="E748" s="59"/>
      <c r="F748" s="60"/>
      <c r="G748" s="60"/>
      <c r="H748" s="60"/>
      <c r="I748" s="60"/>
      <c r="J748" s="60"/>
      <c r="K748" s="59"/>
      <c r="L748" s="59"/>
      <c r="M748" s="61"/>
      <c r="N748" s="59"/>
      <c r="O748" s="59"/>
    </row>
    <row r="749" ht="14.25" customHeight="1">
      <c r="A749" s="59"/>
      <c r="B749" s="60"/>
      <c r="C749" s="60"/>
      <c r="D749" s="59"/>
      <c r="E749" s="59"/>
      <c r="F749" s="60"/>
      <c r="G749" s="60"/>
      <c r="H749" s="60"/>
      <c r="I749" s="60"/>
      <c r="J749" s="60"/>
      <c r="K749" s="59"/>
      <c r="L749" s="59"/>
      <c r="M749" s="61"/>
      <c r="N749" s="59"/>
      <c r="O749" s="59"/>
    </row>
    <row r="750" ht="14.25" customHeight="1">
      <c r="A750" s="59"/>
      <c r="B750" s="60"/>
      <c r="C750" s="60"/>
      <c r="D750" s="59"/>
      <c r="E750" s="59"/>
      <c r="F750" s="60"/>
      <c r="G750" s="60"/>
      <c r="H750" s="60"/>
      <c r="I750" s="60"/>
      <c r="J750" s="60"/>
      <c r="K750" s="59"/>
      <c r="L750" s="59"/>
      <c r="M750" s="61"/>
      <c r="N750" s="59"/>
      <c r="O750" s="59"/>
    </row>
    <row r="751" ht="14.25" customHeight="1">
      <c r="A751" s="59"/>
      <c r="B751" s="60"/>
      <c r="C751" s="60"/>
      <c r="D751" s="59"/>
      <c r="E751" s="59"/>
      <c r="F751" s="60"/>
      <c r="G751" s="60"/>
      <c r="H751" s="60"/>
      <c r="I751" s="60"/>
      <c r="J751" s="60"/>
      <c r="K751" s="59"/>
      <c r="L751" s="59"/>
      <c r="M751" s="61"/>
      <c r="N751" s="59"/>
      <c r="O751" s="59"/>
    </row>
    <row r="752" ht="14.25" customHeight="1">
      <c r="A752" s="59"/>
      <c r="B752" s="60"/>
      <c r="C752" s="60"/>
      <c r="D752" s="59"/>
      <c r="E752" s="59"/>
      <c r="F752" s="60"/>
      <c r="G752" s="60"/>
      <c r="H752" s="60"/>
      <c r="I752" s="60"/>
      <c r="J752" s="60"/>
      <c r="K752" s="59"/>
      <c r="L752" s="59"/>
      <c r="M752" s="61"/>
      <c r="N752" s="59"/>
      <c r="O752" s="59"/>
    </row>
    <row r="753" ht="14.25" customHeight="1">
      <c r="A753" s="59"/>
      <c r="B753" s="60"/>
      <c r="C753" s="60"/>
      <c r="D753" s="59"/>
      <c r="E753" s="59"/>
      <c r="F753" s="60"/>
      <c r="G753" s="60"/>
      <c r="H753" s="60"/>
      <c r="I753" s="60"/>
      <c r="J753" s="60"/>
      <c r="K753" s="59"/>
      <c r="L753" s="59"/>
      <c r="M753" s="61"/>
      <c r="N753" s="59"/>
      <c r="O753" s="59"/>
    </row>
    <row r="754" ht="14.25" customHeight="1">
      <c r="A754" s="59"/>
      <c r="B754" s="60"/>
      <c r="C754" s="60"/>
      <c r="D754" s="59"/>
      <c r="E754" s="59"/>
      <c r="F754" s="60"/>
      <c r="G754" s="60"/>
      <c r="H754" s="60"/>
      <c r="I754" s="60"/>
      <c r="J754" s="60"/>
      <c r="K754" s="59"/>
      <c r="L754" s="59"/>
      <c r="M754" s="61"/>
      <c r="N754" s="59"/>
      <c r="O754" s="59"/>
    </row>
    <row r="755" ht="14.25" customHeight="1">
      <c r="A755" s="59"/>
      <c r="B755" s="60"/>
      <c r="C755" s="60"/>
      <c r="D755" s="59"/>
      <c r="E755" s="59"/>
      <c r="F755" s="60"/>
      <c r="G755" s="60"/>
      <c r="H755" s="60"/>
      <c r="I755" s="60"/>
      <c r="J755" s="60"/>
      <c r="K755" s="59"/>
      <c r="L755" s="59"/>
      <c r="M755" s="61"/>
      <c r="N755" s="59"/>
      <c r="O755" s="59"/>
    </row>
    <row r="756" ht="14.25" customHeight="1">
      <c r="A756" s="59"/>
      <c r="B756" s="60"/>
      <c r="C756" s="60"/>
      <c r="D756" s="59"/>
      <c r="E756" s="59"/>
      <c r="F756" s="60"/>
      <c r="G756" s="60"/>
      <c r="H756" s="60"/>
      <c r="I756" s="60"/>
      <c r="J756" s="60"/>
      <c r="K756" s="59"/>
      <c r="L756" s="59"/>
      <c r="M756" s="61"/>
      <c r="N756" s="59"/>
      <c r="O756" s="59"/>
    </row>
    <row r="757" ht="14.25" customHeight="1">
      <c r="A757" s="59"/>
      <c r="B757" s="60"/>
      <c r="C757" s="60"/>
      <c r="D757" s="59"/>
      <c r="E757" s="59"/>
      <c r="F757" s="60"/>
      <c r="G757" s="60"/>
      <c r="H757" s="60"/>
      <c r="I757" s="60"/>
      <c r="J757" s="60"/>
      <c r="K757" s="59"/>
      <c r="L757" s="59"/>
      <c r="M757" s="61"/>
      <c r="N757" s="59"/>
      <c r="O757" s="59"/>
    </row>
    <row r="758" ht="14.25" customHeight="1">
      <c r="A758" s="59"/>
      <c r="B758" s="60"/>
      <c r="C758" s="60"/>
      <c r="D758" s="59"/>
      <c r="E758" s="59"/>
      <c r="F758" s="60"/>
      <c r="G758" s="60"/>
      <c r="H758" s="60"/>
      <c r="I758" s="60"/>
      <c r="J758" s="60"/>
      <c r="K758" s="59"/>
      <c r="L758" s="59"/>
      <c r="M758" s="61"/>
      <c r="N758" s="59"/>
      <c r="O758" s="59"/>
    </row>
    <row r="759" ht="14.25" customHeight="1">
      <c r="A759" s="59"/>
      <c r="B759" s="60"/>
      <c r="C759" s="60"/>
      <c r="D759" s="59"/>
      <c r="E759" s="59"/>
      <c r="F759" s="60"/>
      <c r="G759" s="60"/>
      <c r="H759" s="60"/>
      <c r="I759" s="60"/>
      <c r="J759" s="60"/>
      <c r="K759" s="59"/>
      <c r="L759" s="59"/>
      <c r="M759" s="61"/>
      <c r="N759" s="59"/>
      <c r="O759" s="59"/>
    </row>
    <row r="760" ht="14.25" customHeight="1">
      <c r="A760" s="59"/>
      <c r="B760" s="60"/>
      <c r="C760" s="60"/>
      <c r="D760" s="59"/>
      <c r="E760" s="59"/>
      <c r="F760" s="60"/>
      <c r="G760" s="60"/>
      <c r="H760" s="60"/>
      <c r="I760" s="60"/>
      <c r="J760" s="60"/>
      <c r="K760" s="59"/>
      <c r="L760" s="59"/>
      <c r="M760" s="61"/>
      <c r="N760" s="59"/>
      <c r="O760" s="59"/>
    </row>
    <row r="761" ht="14.25" customHeight="1">
      <c r="A761" s="59"/>
      <c r="B761" s="60"/>
      <c r="C761" s="60"/>
      <c r="D761" s="59"/>
      <c r="E761" s="59"/>
      <c r="F761" s="60"/>
      <c r="G761" s="60"/>
      <c r="H761" s="60"/>
      <c r="I761" s="60"/>
      <c r="J761" s="60"/>
      <c r="K761" s="59"/>
      <c r="L761" s="59"/>
      <c r="M761" s="61"/>
      <c r="N761" s="59"/>
      <c r="O761" s="59"/>
    </row>
    <row r="762" ht="14.25" customHeight="1">
      <c r="A762" s="59"/>
      <c r="B762" s="60"/>
      <c r="C762" s="60"/>
      <c r="D762" s="59"/>
      <c r="E762" s="59"/>
      <c r="F762" s="60"/>
      <c r="G762" s="60"/>
      <c r="H762" s="60"/>
      <c r="I762" s="60"/>
      <c r="J762" s="60"/>
      <c r="K762" s="59"/>
      <c r="L762" s="59"/>
      <c r="M762" s="61"/>
      <c r="N762" s="59"/>
      <c r="O762" s="59"/>
    </row>
    <row r="763" ht="14.25" customHeight="1">
      <c r="A763" s="59"/>
      <c r="B763" s="60"/>
      <c r="C763" s="60"/>
      <c r="D763" s="59"/>
      <c r="E763" s="59"/>
      <c r="F763" s="60"/>
      <c r="G763" s="60"/>
      <c r="H763" s="60"/>
      <c r="I763" s="60"/>
      <c r="J763" s="60"/>
      <c r="K763" s="59"/>
      <c r="L763" s="59"/>
      <c r="M763" s="61"/>
      <c r="N763" s="59"/>
      <c r="O763" s="59"/>
    </row>
    <row r="764" ht="14.25" customHeight="1">
      <c r="A764" s="59"/>
      <c r="B764" s="60"/>
      <c r="C764" s="60"/>
      <c r="D764" s="59"/>
      <c r="E764" s="59"/>
      <c r="F764" s="60"/>
      <c r="G764" s="60"/>
      <c r="H764" s="60"/>
      <c r="I764" s="60"/>
      <c r="J764" s="60"/>
      <c r="K764" s="59"/>
      <c r="L764" s="59"/>
      <c r="M764" s="61"/>
      <c r="N764" s="59"/>
      <c r="O764" s="59"/>
    </row>
    <row r="765" ht="14.25" customHeight="1">
      <c r="A765" s="59"/>
      <c r="B765" s="60"/>
      <c r="C765" s="60"/>
      <c r="D765" s="59"/>
      <c r="E765" s="59"/>
      <c r="F765" s="60"/>
      <c r="G765" s="60"/>
      <c r="H765" s="60"/>
      <c r="I765" s="60"/>
      <c r="J765" s="60"/>
      <c r="K765" s="59"/>
      <c r="L765" s="59"/>
      <c r="M765" s="61"/>
      <c r="N765" s="59"/>
      <c r="O765" s="59"/>
    </row>
    <row r="766" ht="14.25" customHeight="1">
      <c r="A766" s="59"/>
      <c r="B766" s="60"/>
      <c r="C766" s="60"/>
      <c r="D766" s="59"/>
      <c r="E766" s="59"/>
      <c r="F766" s="60"/>
      <c r="G766" s="60"/>
      <c r="H766" s="60"/>
      <c r="I766" s="60"/>
      <c r="J766" s="60"/>
      <c r="K766" s="59"/>
      <c r="L766" s="59"/>
      <c r="M766" s="61"/>
      <c r="N766" s="59"/>
      <c r="O766" s="59"/>
    </row>
    <row r="767" ht="14.25" customHeight="1">
      <c r="A767" s="59"/>
      <c r="B767" s="60"/>
      <c r="C767" s="60"/>
      <c r="D767" s="59"/>
      <c r="E767" s="59"/>
      <c r="F767" s="60"/>
      <c r="G767" s="60"/>
      <c r="H767" s="60"/>
      <c r="I767" s="60"/>
      <c r="J767" s="60"/>
      <c r="K767" s="59"/>
      <c r="L767" s="59"/>
      <c r="M767" s="61"/>
      <c r="N767" s="59"/>
      <c r="O767" s="59"/>
    </row>
    <row r="768" ht="14.25" customHeight="1">
      <c r="A768" s="59"/>
      <c r="B768" s="60"/>
      <c r="C768" s="60"/>
      <c r="D768" s="59"/>
      <c r="E768" s="59"/>
      <c r="F768" s="60"/>
      <c r="G768" s="60"/>
      <c r="H768" s="60"/>
      <c r="I768" s="60"/>
      <c r="J768" s="60"/>
      <c r="K768" s="59"/>
      <c r="L768" s="59"/>
      <c r="M768" s="61"/>
      <c r="N768" s="59"/>
      <c r="O768" s="59"/>
    </row>
    <row r="769" ht="14.25" customHeight="1">
      <c r="A769" s="59"/>
      <c r="B769" s="60"/>
      <c r="C769" s="60"/>
      <c r="D769" s="59"/>
      <c r="E769" s="59"/>
      <c r="F769" s="60"/>
      <c r="G769" s="60"/>
      <c r="H769" s="60"/>
      <c r="I769" s="60"/>
      <c r="J769" s="60"/>
      <c r="K769" s="59"/>
      <c r="L769" s="59"/>
      <c r="M769" s="61"/>
      <c r="N769" s="59"/>
      <c r="O769" s="59"/>
    </row>
    <row r="770" ht="14.25" customHeight="1">
      <c r="A770" s="59"/>
      <c r="B770" s="60"/>
      <c r="C770" s="60"/>
      <c r="D770" s="59"/>
      <c r="E770" s="59"/>
      <c r="F770" s="60"/>
      <c r="G770" s="60"/>
      <c r="H770" s="60"/>
      <c r="I770" s="60"/>
      <c r="J770" s="60"/>
      <c r="K770" s="59"/>
      <c r="L770" s="59"/>
      <c r="M770" s="61"/>
      <c r="N770" s="59"/>
      <c r="O770" s="59"/>
    </row>
    <row r="771" ht="14.25" customHeight="1">
      <c r="A771" s="59"/>
      <c r="B771" s="60"/>
      <c r="C771" s="60"/>
      <c r="D771" s="59"/>
      <c r="E771" s="59"/>
      <c r="F771" s="60"/>
      <c r="G771" s="60"/>
      <c r="H771" s="60"/>
      <c r="I771" s="60"/>
      <c r="J771" s="60"/>
      <c r="K771" s="59"/>
      <c r="L771" s="59"/>
      <c r="M771" s="61"/>
      <c r="N771" s="59"/>
      <c r="O771" s="59"/>
    </row>
    <row r="772" ht="14.25" customHeight="1">
      <c r="A772" s="59"/>
      <c r="B772" s="60"/>
      <c r="C772" s="60"/>
      <c r="D772" s="59"/>
      <c r="E772" s="59"/>
      <c r="F772" s="60"/>
      <c r="G772" s="60"/>
      <c r="H772" s="60"/>
      <c r="I772" s="60"/>
      <c r="J772" s="60"/>
      <c r="K772" s="59"/>
      <c r="L772" s="59"/>
      <c r="M772" s="61"/>
      <c r="N772" s="59"/>
      <c r="O772" s="59"/>
    </row>
    <row r="773" ht="14.25" customHeight="1">
      <c r="A773" s="59"/>
      <c r="B773" s="60"/>
      <c r="C773" s="60"/>
      <c r="D773" s="59"/>
      <c r="E773" s="59"/>
      <c r="F773" s="60"/>
      <c r="G773" s="60"/>
      <c r="H773" s="60"/>
      <c r="I773" s="60"/>
      <c r="J773" s="60"/>
      <c r="K773" s="59"/>
      <c r="L773" s="59"/>
      <c r="M773" s="61"/>
      <c r="N773" s="59"/>
      <c r="O773" s="59"/>
    </row>
    <row r="774" ht="14.25" customHeight="1">
      <c r="A774" s="59"/>
      <c r="B774" s="60"/>
      <c r="C774" s="60"/>
      <c r="D774" s="59"/>
      <c r="E774" s="59"/>
      <c r="F774" s="60"/>
      <c r="G774" s="60"/>
      <c r="H774" s="60"/>
      <c r="I774" s="60"/>
      <c r="J774" s="60"/>
      <c r="K774" s="59"/>
      <c r="L774" s="59"/>
      <c r="M774" s="61"/>
      <c r="N774" s="59"/>
      <c r="O774" s="59"/>
    </row>
    <row r="775" ht="14.25" customHeight="1">
      <c r="A775" s="59"/>
      <c r="B775" s="60"/>
      <c r="C775" s="60"/>
      <c r="D775" s="59"/>
      <c r="E775" s="59"/>
      <c r="F775" s="60"/>
      <c r="G775" s="60"/>
      <c r="H775" s="60"/>
      <c r="I775" s="60"/>
      <c r="J775" s="60"/>
      <c r="K775" s="59"/>
      <c r="L775" s="59"/>
      <c r="M775" s="61"/>
      <c r="N775" s="59"/>
      <c r="O775" s="59"/>
    </row>
    <row r="776" ht="14.25" customHeight="1">
      <c r="A776" s="59"/>
      <c r="B776" s="60"/>
      <c r="C776" s="60"/>
      <c r="D776" s="59"/>
      <c r="E776" s="59"/>
      <c r="F776" s="60"/>
      <c r="G776" s="60"/>
      <c r="H776" s="60"/>
      <c r="I776" s="60"/>
      <c r="J776" s="60"/>
      <c r="K776" s="59"/>
      <c r="L776" s="59"/>
      <c r="M776" s="61"/>
      <c r="N776" s="59"/>
      <c r="O776" s="59"/>
    </row>
    <row r="777" ht="14.25" customHeight="1">
      <c r="A777" s="59"/>
      <c r="B777" s="60"/>
      <c r="C777" s="60"/>
      <c r="D777" s="59"/>
      <c r="E777" s="59"/>
      <c r="F777" s="60"/>
      <c r="G777" s="60"/>
      <c r="H777" s="60"/>
      <c r="I777" s="60"/>
      <c r="J777" s="60"/>
      <c r="K777" s="59"/>
      <c r="L777" s="59"/>
      <c r="M777" s="61"/>
      <c r="N777" s="59"/>
      <c r="O777" s="59"/>
    </row>
    <row r="778" ht="14.25" customHeight="1">
      <c r="A778" s="59"/>
      <c r="B778" s="60"/>
      <c r="C778" s="60"/>
      <c r="D778" s="59"/>
      <c r="E778" s="59"/>
      <c r="F778" s="60"/>
      <c r="G778" s="60"/>
      <c r="H778" s="60"/>
      <c r="I778" s="60"/>
      <c r="J778" s="60"/>
      <c r="K778" s="59"/>
      <c r="L778" s="59"/>
      <c r="M778" s="61"/>
      <c r="N778" s="59"/>
      <c r="O778" s="59"/>
    </row>
    <row r="779" ht="14.25" customHeight="1">
      <c r="A779" s="59"/>
      <c r="B779" s="60"/>
      <c r="C779" s="60"/>
      <c r="D779" s="59"/>
      <c r="E779" s="59"/>
      <c r="F779" s="60"/>
      <c r="G779" s="60"/>
      <c r="H779" s="60"/>
      <c r="I779" s="60"/>
      <c r="J779" s="60"/>
      <c r="K779" s="59"/>
      <c r="L779" s="59"/>
      <c r="M779" s="61"/>
      <c r="N779" s="59"/>
      <c r="O779" s="59"/>
    </row>
    <row r="780" ht="14.25" customHeight="1">
      <c r="A780" s="59"/>
      <c r="B780" s="60"/>
      <c r="C780" s="60"/>
      <c r="D780" s="59"/>
      <c r="E780" s="59"/>
      <c r="F780" s="60"/>
      <c r="G780" s="60"/>
      <c r="H780" s="60"/>
      <c r="I780" s="60"/>
      <c r="J780" s="60"/>
      <c r="K780" s="59"/>
      <c r="L780" s="59"/>
      <c r="M780" s="61"/>
      <c r="N780" s="59"/>
      <c r="O780" s="59"/>
    </row>
    <row r="781" ht="14.25" customHeight="1">
      <c r="A781" s="59"/>
      <c r="B781" s="60"/>
      <c r="C781" s="60"/>
      <c r="D781" s="59"/>
      <c r="E781" s="59"/>
      <c r="F781" s="60"/>
      <c r="G781" s="60"/>
      <c r="H781" s="60"/>
      <c r="I781" s="60"/>
      <c r="J781" s="60"/>
      <c r="K781" s="59"/>
      <c r="L781" s="59"/>
      <c r="M781" s="61"/>
      <c r="N781" s="59"/>
      <c r="O781" s="59"/>
    </row>
    <row r="782" ht="14.25" customHeight="1">
      <c r="A782" s="59"/>
      <c r="B782" s="60"/>
      <c r="C782" s="60"/>
      <c r="D782" s="59"/>
      <c r="E782" s="59"/>
      <c r="F782" s="60"/>
      <c r="G782" s="60"/>
      <c r="H782" s="60"/>
      <c r="I782" s="60"/>
      <c r="J782" s="60"/>
      <c r="K782" s="59"/>
      <c r="L782" s="59"/>
      <c r="M782" s="61"/>
      <c r="N782" s="59"/>
      <c r="O782" s="59"/>
    </row>
    <row r="783" ht="14.25" customHeight="1">
      <c r="A783" s="59"/>
      <c r="B783" s="60"/>
      <c r="C783" s="60"/>
      <c r="D783" s="59"/>
      <c r="E783" s="59"/>
      <c r="F783" s="60"/>
      <c r="G783" s="60"/>
      <c r="H783" s="60"/>
      <c r="I783" s="60"/>
      <c r="J783" s="60"/>
      <c r="K783" s="59"/>
      <c r="L783" s="59"/>
      <c r="M783" s="61"/>
      <c r="N783" s="59"/>
      <c r="O783" s="59"/>
    </row>
    <row r="784" ht="14.25" customHeight="1">
      <c r="A784" s="59"/>
      <c r="B784" s="60"/>
      <c r="C784" s="60"/>
      <c r="D784" s="59"/>
      <c r="E784" s="59"/>
      <c r="F784" s="60"/>
      <c r="G784" s="60"/>
      <c r="H784" s="60"/>
      <c r="I784" s="60"/>
      <c r="J784" s="60"/>
      <c r="K784" s="59"/>
      <c r="L784" s="59"/>
      <c r="M784" s="61"/>
      <c r="N784" s="59"/>
      <c r="O784" s="59"/>
    </row>
    <row r="785" ht="14.25" customHeight="1">
      <c r="A785" s="59"/>
      <c r="B785" s="60"/>
      <c r="C785" s="60"/>
      <c r="D785" s="59"/>
      <c r="E785" s="59"/>
      <c r="F785" s="60"/>
      <c r="G785" s="60"/>
      <c r="H785" s="60"/>
      <c r="I785" s="60"/>
      <c r="J785" s="60"/>
      <c r="K785" s="59"/>
      <c r="L785" s="59"/>
      <c r="M785" s="61"/>
      <c r="N785" s="59"/>
      <c r="O785" s="59"/>
    </row>
    <row r="786" ht="14.25" customHeight="1">
      <c r="A786" s="59"/>
      <c r="B786" s="60"/>
      <c r="C786" s="60"/>
      <c r="D786" s="59"/>
      <c r="E786" s="59"/>
      <c r="F786" s="60"/>
      <c r="G786" s="60"/>
      <c r="H786" s="60"/>
      <c r="I786" s="60"/>
      <c r="J786" s="60"/>
      <c r="K786" s="59"/>
      <c r="L786" s="59"/>
      <c r="M786" s="61"/>
      <c r="N786" s="59"/>
      <c r="O786" s="59"/>
    </row>
    <row r="787" ht="14.25" customHeight="1">
      <c r="A787" s="59"/>
      <c r="B787" s="60"/>
      <c r="C787" s="60"/>
      <c r="D787" s="59"/>
      <c r="E787" s="59"/>
      <c r="F787" s="60"/>
      <c r="G787" s="60"/>
      <c r="H787" s="60"/>
      <c r="I787" s="60"/>
      <c r="J787" s="60"/>
      <c r="K787" s="59"/>
      <c r="L787" s="59"/>
      <c r="M787" s="61"/>
      <c r="N787" s="59"/>
      <c r="O787" s="59"/>
    </row>
    <row r="788" ht="14.25" customHeight="1">
      <c r="A788" s="59"/>
      <c r="B788" s="60"/>
      <c r="C788" s="60"/>
      <c r="D788" s="59"/>
      <c r="E788" s="59"/>
      <c r="F788" s="60"/>
      <c r="G788" s="60"/>
      <c r="H788" s="60"/>
      <c r="I788" s="60"/>
      <c r="J788" s="60"/>
      <c r="K788" s="59"/>
      <c r="L788" s="59"/>
      <c r="M788" s="61"/>
      <c r="N788" s="59"/>
      <c r="O788" s="59"/>
    </row>
    <row r="789" ht="14.25" customHeight="1">
      <c r="A789" s="59"/>
      <c r="B789" s="60"/>
      <c r="C789" s="60"/>
      <c r="D789" s="59"/>
      <c r="E789" s="59"/>
      <c r="F789" s="60"/>
      <c r="G789" s="60"/>
      <c r="H789" s="60"/>
      <c r="I789" s="60"/>
      <c r="J789" s="60"/>
      <c r="K789" s="59"/>
      <c r="L789" s="59"/>
      <c r="M789" s="61"/>
      <c r="N789" s="59"/>
      <c r="O789" s="59"/>
    </row>
    <row r="790" ht="14.25" customHeight="1">
      <c r="A790" s="59"/>
      <c r="B790" s="60"/>
      <c r="C790" s="60"/>
      <c r="D790" s="59"/>
      <c r="E790" s="59"/>
      <c r="F790" s="60"/>
      <c r="G790" s="60"/>
      <c r="H790" s="60"/>
      <c r="I790" s="60"/>
      <c r="J790" s="60"/>
      <c r="K790" s="59"/>
      <c r="L790" s="59"/>
      <c r="M790" s="61"/>
      <c r="N790" s="59"/>
      <c r="O790" s="59"/>
    </row>
    <row r="791" ht="14.25" customHeight="1">
      <c r="A791" s="59"/>
      <c r="B791" s="60"/>
      <c r="C791" s="60"/>
      <c r="D791" s="59"/>
      <c r="E791" s="59"/>
      <c r="F791" s="60"/>
      <c r="G791" s="60"/>
      <c r="H791" s="60"/>
      <c r="I791" s="60"/>
      <c r="J791" s="60"/>
      <c r="K791" s="59"/>
      <c r="L791" s="59"/>
      <c r="M791" s="61"/>
      <c r="N791" s="59"/>
      <c r="O791" s="59"/>
    </row>
    <row r="792" ht="14.25" customHeight="1">
      <c r="A792" s="59"/>
      <c r="B792" s="60"/>
      <c r="C792" s="60"/>
      <c r="D792" s="59"/>
      <c r="E792" s="59"/>
      <c r="F792" s="60"/>
      <c r="G792" s="60"/>
      <c r="H792" s="60"/>
      <c r="I792" s="60"/>
      <c r="J792" s="60"/>
      <c r="K792" s="59"/>
      <c r="L792" s="59"/>
      <c r="M792" s="61"/>
      <c r="N792" s="59"/>
      <c r="O792" s="59"/>
    </row>
    <row r="793" ht="14.25" customHeight="1">
      <c r="A793" s="59"/>
      <c r="B793" s="60"/>
      <c r="C793" s="60"/>
      <c r="D793" s="59"/>
      <c r="E793" s="59"/>
      <c r="F793" s="60"/>
      <c r="G793" s="60"/>
      <c r="H793" s="60"/>
      <c r="I793" s="60"/>
      <c r="J793" s="60"/>
      <c r="K793" s="59"/>
      <c r="L793" s="59"/>
      <c r="M793" s="61"/>
      <c r="N793" s="59"/>
      <c r="O793" s="59"/>
    </row>
    <row r="794" ht="14.25" customHeight="1">
      <c r="A794" s="59"/>
      <c r="B794" s="60"/>
      <c r="C794" s="60"/>
      <c r="D794" s="59"/>
      <c r="E794" s="59"/>
      <c r="F794" s="60"/>
      <c r="G794" s="60"/>
      <c r="H794" s="60"/>
      <c r="I794" s="60"/>
      <c r="J794" s="60"/>
      <c r="K794" s="59"/>
      <c r="L794" s="59"/>
      <c r="M794" s="61"/>
      <c r="N794" s="59"/>
      <c r="O794" s="59"/>
    </row>
    <row r="795" ht="14.25" customHeight="1">
      <c r="A795" s="59"/>
      <c r="B795" s="60"/>
      <c r="C795" s="60"/>
      <c r="D795" s="59"/>
      <c r="E795" s="59"/>
      <c r="F795" s="60"/>
      <c r="G795" s="60"/>
      <c r="H795" s="60"/>
      <c r="I795" s="60"/>
      <c r="J795" s="60"/>
      <c r="K795" s="59"/>
      <c r="L795" s="59"/>
      <c r="M795" s="61"/>
      <c r="N795" s="59"/>
      <c r="O795" s="59"/>
    </row>
    <row r="796" ht="14.25" customHeight="1">
      <c r="A796" s="59"/>
      <c r="B796" s="60"/>
      <c r="C796" s="60"/>
      <c r="D796" s="59"/>
      <c r="E796" s="59"/>
      <c r="F796" s="60"/>
      <c r="G796" s="60"/>
      <c r="H796" s="60"/>
      <c r="I796" s="60"/>
      <c r="J796" s="60"/>
      <c r="K796" s="59"/>
      <c r="L796" s="59"/>
      <c r="M796" s="61"/>
      <c r="N796" s="59"/>
      <c r="O796" s="59"/>
    </row>
    <row r="797" ht="14.25" customHeight="1">
      <c r="A797" s="59"/>
      <c r="B797" s="60"/>
      <c r="C797" s="60"/>
      <c r="D797" s="59"/>
      <c r="E797" s="59"/>
      <c r="F797" s="60"/>
      <c r="G797" s="60"/>
      <c r="H797" s="60"/>
      <c r="I797" s="60"/>
      <c r="J797" s="60"/>
      <c r="K797" s="59"/>
      <c r="L797" s="59"/>
      <c r="M797" s="61"/>
      <c r="N797" s="59"/>
      <c r="O797" s="59"/>
    </row>
    <row r="798" ht="14.25" customHeight="1">
      <c r="A798" s="59"/>
      <c r="B798" s="60"/>
      <c r="C798" s="60"/>
      <c r="D798" s="59"/>
      <c r="E798" s="59"/>
      <c r="F798" s="60"/>
      <c r="G798" s="60"/>
      <c r="H798" s="60"/>
      <c r="I798" s="60"/>
      <c r="J798" s="60"/>
      <c r="K798" s="59"/>
      <c r="L798" s="59"/>
      <c r="M798" s="61"/>
      <c r="N798" s="59"/>
      <c r="O798" s="59"/>
    </row>
    <row r="799" ht="14.25" customHeight="1">
      <c r="A799" s="59"/>
      <c r="B799" s="60"/>
      <c r="C799" s="60"/>
      <c r="D799" s="59"/>
      <c r="E799" s="59"/>
      <c r="F799" s="60"/>
      <c r="G799" s="60"/>
      <c r="H799" s="60"/>
      <c r="I799" s="60"/>
      <c r="J799" s="60"/>
      <c r="K799" s="59"/>
      <c r="L799" s="59"/>
      <c r="M799" s="61"/>
      <c r="N799" s="59"/>
      <c r="O799" s="59"/>
    </row>
    <row r="800" ht="14.25" customHeight="1">
      <c r="A800" s="59"/>
      <c r="B800" s="60"/>
      <c r="C800" s="60"/>
      <c r="D800" s="59"/>
      <c r="E800" s="59"/>
      <c r="F800" s="60"/>
      <c r="G800" s="60"/>
      <c r="H800" s="60"/>
      <c r="I800" s="60"/>
      <c r="J800" s="60"/>
      <c r="K800" s="59"/>
      <c r="L800" s="59"/>
      <c r="M800" s="61"/>
      <c r="N800" s="59"/>
      <c r="O800" s="59"/>
    </row>
    <row r="801" ht="14.25" customHeight="1">
      <c r="A801" s="59"/>
      <c r="B801" s="60"/>
      <c r="C801" s="60"/>
      <c r="D801" s="59"/>
      <c r="E801" s="59"/>
      <c r="F801" s="60"/>
      <c r="G801" s="60"/>
      <c r="H801" s="60"/>
      <c r="I801" s="60"/>
      <c r="J801" s="60"/>
      <c r="K801" s="59"/>
      <c r="L801" s="59"/>
      <c r="M801" s="61"/>
      <c r="N801" s="59"/>
      <c r="O801" s="59"/>
    </row>
    <row r="802" ht="14.25" customHeight="1">
      <c r="A802" s="59"/>
      <c r="B802" s="60"/>
      <c r="C802" s="60"/>
      <c r="D802" s="59"/>
      <c r="E802" s="59"/>
      <c r="F802" s="60"/>
      <c r="G802" s="60"/>
      <c r="H802" s="60"/>
      <c r="I802" s="60"/>
      <c r="J802" s="60"/>
      <c r="K802" s="59"/>
      <c r="L802" s="59"/>
      <c r="M802" s="61"/>
      <c r="N802" s="59"/>
      <c r="O802" s="59"/>
    </row>
    <row r="803" ht="14.25" customHeight="1">
      <c r="A803" s="59"/>
      <c r="B803" s="60"/>
      <c r="C803" s="60"/>
      <c r="D803" s="59"/>
      <c r="E803" s="59"/>
      <c r="F803" s="60"/>
      <c r="G803" s="60"/>
      <c r="H803" s="60"/>
      <c r="I803" s="60"/>
      <c r="J803" s="60"/>
      <c r="K803" s="59"/>
      <c r="L803" s="59"/>
      <c r="M803" s="61"/>
      <c r="N803" s="59"/>
      <c r="O803" s="59"/>
    </row>
    <row r="804" ht="14.25" customHeight="1">
      <c r="A804" s="59"/>
      <c r="B804" s="60"/>
      <c r="C804" s="60"/>
      <c r="D804" s="59"/>
      <c r="E804" s="59"/>
      <c r="F804" s="60"/>
      <c r="G804" s="60"/>
      <c r="H804" s="60"/>
      <c r="I804" s="60"/>
      <c r="J804" s="60"/>
      <c r="K804" s="59"/>
      <c r="L804" s="59"/>
      <c r="M804" s="61"/>
      <c r="N804" s="59"/>
      <c r="O804" s="59"/>
    </row>
    <row r="805" ht="14.25" customHeight="1">
      <c r="A805" s="59"/>
      <c r="B805" s="60"/>
      <c r="C805" s="60"/>
      <c r="D805" s="59"/>
      <c r="E805" s="59"/>
      <c r="F805" s="60"/>
      <c r="G805" s="60"/>
      <c r="H805" s="60"/>
      <c r="I805" s="60"/>
      <c r="J805" s="60"/>
      <c r="K805" s="59"/>
      <c r="L805" s="59"/>
      <c r="M805" s="61"/>
      <c r="N805" s="59"/>
      <c r="O805" s="59"/>
    </row>
    <row r="806" ht="14.25" customHeight="1">
      <c r="A806" s="59"/>
      <c r="B806" s="60"/>
      <c r="C806" s="60"/>
      <c r="D806" s="59"/>
      <c r="E806" s="59"/>
      <c r="F806" s="60"/>
      <c r="G806" s="60"/>
      <c r="H806" s="60"/>
      <c r="I806" s="60"/>
      <c r="J806" s="60"/>
      <c r="K806" s="59"/>
      <c r="L806" s="59"/>
      <c r="M806" s="61"/>
      <c r="N806" s="59"/>
      <c r="O806" s="59"/>
    </row>
    <row r="807" ht="14.25" customHeight="1">
      <c r="A807" s="59"/>
      <c r="B807" s="60"/>
      <c r="C807" s="60"/>
      <c r="D807" s="59"/>
      <c r="E807" s="59"/>
      <c r="F807" s="60"/>
      <c r="G807" s="60"/>
      <c r="H807" s="60"/>
      <c r="I807" s="60"/>
      <c r="J807" s="60"/>
      <c r="K807" s="59"/>
      <c r="L807" s="59"/>
      <c r="M807" s="61"/>
      <c r="N807" s="59"/>
      <c r="O807" s="59"/>
    </row>
    <row r="808" ht="14.25" customHeight="1">
      <c r="A808" s="59"/>
      <c r="B808" s="60"/>
      <c r="C808" s="60"/>
      <c r="D808" s="59"/>
      <c r="E808" s="59"/>
      <c r="F808" s="60"/>
      <c r="G808" s="60"/>
      <c r="H808" s="60"/>
      <c r="I808" s="60"/>
      <c r="J808" s="60"/>
      <c r="K808" s="59"/>
      <c r="L808" s="59"/>
      <c r="M808" s="61"/>
      <c r="N808" s="59"/>
      <c r="O808" s="59"/>
    </row>
    <row r="809" ht="14.25" customHeight="1">
      <c r="A809" s="59"/>
      <c r="B809" s="60"/>
      <c r="C809" s="60"/>
      <c r="D809" s="59"/>
      <c r="E809" s="59"/>
      <c r="F809" s="60"/>
      <c r="G809" s="60"/>
      <c r="H809" s="60"/>
      <c r="I809" s="60"/>
      <c r="J809" s="60"/>
      <c r="K809" s="59"/>
      <c r="L809" s="59"/>
      <c r="M809" s="61"/>
      <c r="N809" s="59"/>
      <c r="O809" s="59"/>
    </row>
    <row r="810" ht="14.25" customHeight="1">
      <c r="A810" s="59"/>
      <c r="B810" s="60"/>
      <c r="C810" s="60"/>
      <c r="D810" s="59"/>
      <c r="E810" s="59"/>
      <c r="F810" s="60"/>
      <c r="G810" s="60"/>
      <c r="H810" s="60"/>
      <c r="I810" s="60"/>
      <c r="J810" s="60"/>
      <c r="K810" s="59"/>
      <c r="L810" s="59"/>
      <c r="M810" s="61"/>
      <c r="N810" s="59"/>
      <c r="O810" s="59"/>
    </row>
    <row r="811" ht="14.25" customHeight="1">
      <c r="A811" s="59"/>
      <c r="B811" s="60"/>
      <c r="C811" s="60"/>
      <c r="D811" s="59"/>
      <c r="E811" s="59"/>
      <c r="F811" s="60"/>
      <c r="G811" s="60"/>
      <c r="H811" s="60"/>
      <c r="I811" s="60"/>
      <c r="J811" s="60"/>
      <c r="K811" s="59"/>
      <c r="L811" s="59"/>
      <c r="M811" s="61"/>
      <c r="N811" s="59"/>
      <c r="O811" s="59"/>
    </row>
    <row r="812" ht="14.25" customHeight="1">
      <c r="A812" s="59"/>
      <c r="B812" s="60"/>
      <c r="C812" s="60"/>
      <c r="D812" s="59"/>
      <c r="E812" s="59"/>
      <c r="F812" s="60"/>
      <c r="G812" s="60"/>
      <c r="H812" s="60"/>
      <c r="I812" s="60"/>
      <c r="J812" s="60"/>
      <c r="K812" s="59"/>
      <c r="L812" s="59"/>
      <c r="M812" s="61"/>
      <c r="N812" s="59"/>
      <c r="O812" s="59"/>
    </row>
    <row r="813" ht="14.25" customHeight="1">
      <c r="A813" s="59"/>
      <c r="B813" s="60"/>
      <c r="C813" s="60"/>
      <c r="D813" s="59"/>
      <c r="E813" s="59"/>
      <c r="F813" s="60"/>
      <c r="G813" s="60"/>
      <c r="H813" s="60"/>
      <c r="I813" s="60"/>
      <c r="J813" s="60"/>
      <c r="K813" s="59"/>
      <c r="L813" s="59"/>
      <c r="M813" s="61"/>
      <c r="N813" s="59"/>
      <c r="O813" s="59"/>
    </row>
    <row r="814" ht="14.25" customHeight="1">
      <c r="A814" s="59"/>
      <c r="B814" s="60"/>
      <c r="C814" s="60"/>
      <c r="D814" s="59"/>
      <c r="E814" s="59"/>
      <c r="F814" s="60"/>
      <c r="G814" s="60"/>
      <c r="H814" s="60"/>
      <c r="I814" s="60"/>
      <c r="J814" s="60"/>
      <c r="K814" s="59"/>
      <c r="L814" s="59"/>
      <c r="M814" s="61"/>
      <c r="N814" s="59"/>
      <c r="O814" s="59"/>
    </row>
    <row r="815" ht="14.25" customHeight="1">
      <c r="A815" s="59"/>
      <c r="B815" s="60"/>
      <c r="C815" s="60"/>
      <c r="D815" s="59"/>
      <c r="E815" s="59"/>
      <c r="F815" s="60"/>
      <c r="G815" s="60"/>
      <c r="H815" s="60"/>
      <c r="I815" s="60"/>
      <c r="J815" s="60"/>
      <c r="K815" s="59"/>
      <c r="L815" s="59"/>
      <c r="M815" s="61"/>
      <c r="N815" s="59"/>
      <c r="O815" s="59"/>
    </row>
    <row r="816" ht="14.25" customHeight="1">
      <c r="A816" s="59"/>
      <c r="B816" s="60"/>
      <c r="C816" s="60"/>
      <c r="D816" s="59"/>
      <c r="E816" s="59"/>
      <c r="F816" s="60"/>
      <c r="G816" s="60"/>
      <c r="H816" s="60"/>
      <c r="I816" s="60"/>
      <c r="J816" s="60"/>
      <c r="K816" s="59"/>
      <c r="L816" s="59"/>
      <c r="M816" s="61"/>
      <c r="N816" s="59"/>
      <c r="O816" s="59"/>
    </row>
    <row r="817" ht="14.25" customHeight="1">
      <c r="A817" s="59"/>
      <c r="B817" s="60"/>
      <c r="C817" s="60"/>
      <c r="D817" s="59"/>
      <c r="E817" s="59"/>
      <c r="F817" s="60"/>
      <c r="G817" s="60"/>
      <c r="H817" s="60"/>
      <c r="I817" s="60"/>
      <c r="J817" s="60"/>
      <c r="K817" s="59"/>
      <c r="L817" s="59"/>
      <c r="M817" s="61"/>
      <c r="N817" s="59"/>
      <c r="O817" s="59"/>
    </row>
    <row r="818" ht="14.25" customHeight="1">
      <c r="A818" s="59"/>
      <c r="B818" s="60"/>
      <c r="C818" s="60"/>
      <c r="D818" s="59"/>
      <c r="E818" s="59"/>
      <c r="F818" s="60"/>
      <c r="G818" s="60"/>
      <c r="H818" s="60"/>
      <c r="I818" s="60"/>
      <c r="J818" s="60"/>
      <c r="K818" s="59"/>
      <c r="L818" s="59"/>
      <c r="M818" s="61"/>
      <c r="N818" s="59"/>
      <c r="O818" s="59"/>
    </row>
    <row r="819" ht="14.25" customHeight="1">
      <c r="A819" s="59"/>
      <c r="B819" s="60"/>
      <c r="C819" s="60"/>
      <c r="D819" s="59"/>
      <c r="E819" s="59"/>
      <c r="F819" s="60"/>
      <c r="G819" s="60"/>
      <c r="H819" s="60"/>
      <c r="I819" s="60"/>
      <c r="J819" s="60"/>
      <c r="K819" s="59"/>
      <c r="L819" s="59"/>
      <c r="M819" s="61"/>
      <c r="N819" s="59"/>
      <c r="O819" s="59"/>
    </row>
    <row r="820" ht="14.25" customHeight="1">
      <c r="A820" s="59"/>
      <c r="B820" s="60"/>
      <c r="C820" s="60"/>
      <c r="D820" s="59"/>
      <c r="E820" s="59"/>
      <c r="F820" s="60"/>
      <c r="G820" s="60"/>
      <c r="H820" s="60"/>
      <c r="I820" s="60"/>
      <c r="J820" s="60"/>
      <c r="K820" s="59"/>
      <c r="L820" s="59"/>
      <c r="M820" s="61"/>
      <c r="N820" s="59"/>
      <c r="O820" s="59"/>
    </row>
    <row r="821" ht="14.25" customHeight="1">
      <c r="A821" s="59"/>
      <c r="B821" s="60"/>
      <c r="C821" s="60"/>
      <c r="D821" s="59"/>
      <c r="E821" s="59"/>
      <c r="F821" s="60"/>
      <c r="G821" s="60"/>
      <c r="H821" s="60"/>
      <c r="I821" s="60"/>
      <c r="J821" s="60"/>
      <c r="K821" s="59"/>
      <c r="L821" s="59"/>
      <c r="M821" s="61"/>
      <c r="N821" s="59"/>
      <c r="O821" s="59"/>
    </row>
    <row r="822" ht="14.25" customHeight="1">
      <c r="A822" s="59"/>
      <c r="B822" s="60"/>
      <c r="C822" s="60"/>
      <c r="D822" s="59"/>
      <c r="E822" s="59"/>
      <c r="F822" s="60"/>
      <c r="G822" s="60"/>
      <c r="H822" s="60"/>
      <c r="I822" s="60"/>
      <c r="J822" s="60"/>
      <c r="K822" s="59"/>
      <c r="L822" s="59"/>
      <c r="M822" s="61"/>
      <c r="N822" s="59"/>
      <c r="O822" s="59"/>
    </row>
    <row r="823" ht="14.25" customHeight="1">
      <c r="A823" s="59"/>
      <c r="B823" s="60"/>
      <c r="C823" s="60"/>
      <c r="D823" s="59"/>
      <c r="E823" s="59"/>
      <c r="F823" s="60"/>
      <c r="G823" s="60"/>
      <c r="H823" s="60"/>
      <c r="I823" s="60"/>
      <c r="J823" s="60"/>
      <c r="K823" s="59"/>
      <c r="L823" s="59"/>
      <c r="M823" s="61"/>
      <c r="N823" s="59"/>
      <c r="O823" s="59"/>
    </row>
    <row r="824" ht="14.25" customHeight="1">
      <c r="A824" s="59"/>
      <c r="B824" s="60"/>
      <c r="C824" s="60"/>
      <c r="D824" s="59"/>
      <c r="E824" s="59"/>
      <c r="F824" s="60"/>
      <c r="G824" s="60"/>
      <c r="H824" s="60"/>
      <c r="I824" s="60"/>
      <c r="J824" s="60"/>
      <c r="K824" s="59"/>
      <c r="L824" s="59"/>
      <c r="M824" s="61"/>
      <c r="N824" s="59"/>
      <c r="O824" s="59"/>
    </row>
    <row r="825" ht="14.25" customHeight="1">
      <c r="A825" s="59"/>
      <c r="B825" s="60"/>
      <c r="C825" s="60"/>
      <c r="D825" s="59"/>
      <c r="E825" s="59"/>
      <c r="F825" s="60"/>
      <c r="G825" s="60"/>
      <c r="H825" s="60"/>
      <c r="I825" s="60"/>
      <c r="J825" s="60"/>
      <c r="K825" s="59"/>
      <c r="L825" s="59"/>
      <c r="M825" s="61"/>
      <c r="N825" s="59"/>
      <c r="O825" s="59"/>
    </row>
    <row r="826" ht="14.25" customHeight="1">
      <c r="A826" s="59"/>
      <c r="B826" s="60"/>
      <c r="C826" s="60"/>
      <c r="D826" s="59"/>
      <c r="E826" s="59"/>
      <c r="F826" s="60"/>
      <c r="G826" s="60"/>
      <c r="H826" s="60"/>
      <c r="I826" s="60"/>
      <c r="J826" s="60"/>
      <c r="K826" s="59"/>
      <c r="L826" s="59"/>
      <c r="M826" s="61"/>
      <c r="N826" s="59"/>
      <c r="O826" s="59"/>
    </row>
    <row r="827" ht="14.25" customHeight="1">
      <c r="A827" s="59"/>
      <c r="B827" s="60"/>
      <c r="C827" s="60"/>
      <c r="D827" s="59"/>
      <c r="E827" s="59"/>
      <c r="F827" s="60"/>
      <c r="G827" s="60"/>
      <c r="H827" s="60"/>
      <c r="I827" s="60"/>
      <c r="J827" s="60"/>
      <c r="K827" s="59"/>
      <c r="L827" s="59"/>
      <c r="M827" s="61"/>
      <c r="N827" s="59"/>
      <c r="O827" s="59"/>
    </row>
    <row r="828" ht="14.25" customHeight="1">
      <c r="A828" s="59"/>
      <c r="B828" s="60"/>
      <c r="C828" s="60"/>
      <c r="D828" s="59"/>
      <c r="E828" s="59"/>
      <c r="F828" s="60"/>
      <c r="G828" s="60"/>
      <c r="H828" s="60"/>
      <c r="I828" s="60"/>
      <c r="J828" s="60"/>
      <c r="K828" s="59"/>
      <c r="L828" s="59"/>
      <c r="M828" s="61"/>
      <c r="N828" s="59"/>
      <c r="O828" s="59"/>
    </row>
    <row r="829" ht="14.25" customHeight="1">
      <c r="A829" s="59"/>
      <c r="B829" s="60"/>
      <c r="C829" s="60"/>
      <c r="D829" s="59"/>
      <c r="E829" s="59"/>
      <c r="F829" s="60"/>
      <c r="G829" s="60"/>
      <c r="H829" s="60"/>
      <c r="I829" s="60"/>
      <c r="J829" s="60"/>
      <c r="K829" s="59"/>
      <c r="L829" s="59"/>
      <c r="M829" s="61"/>
      <c r="N829" s="59"/>
      <c r="O829" s="59"/>
    </row>
    <row r="830" ht="14.25" customHeight="1">
      <c r="A830" s="59"/>
      <c r="B830" s="60"/>
      <c r="C830" s="60"/>
      <c r="D830" s="59"/>
      <c r="E830" s="59"/>
      <c r="F830" s="60"/>
      <c r="G830" s="60"/>
      <c r="H830" s="60"/>
      <c r="I830" s="60"/>
      <c r="J830" s="60"/>
      <c r="K830" s="59"/>
      <c r="L830" s="59"/>
      <c r="M830" s="61"/>
      <c r="N830" s="59"/>
      <c r="O830" s="59"/>
    </row>
    <row r="831" ht="14.25" customHeight="1">
      <c r="A831" s="59"/>
      <c r="B831" s="60"/>
      <c r="C831" s="60"/>
      <c r="D831" s="59"/>
      <c r="E831" s="59"/>
      <c r="F831" s="60"/>
      <c r="G831" s="60"/>
      <c r="H831" s="60"/>
      <c r="I831" s="60"/>
      <c r="J831" s="60"/>
      <c r="K831" s="59"/>
      <c r="L831" s="59"/>
      <c r="M831" s="61"/>
      <c r="N831" s="59"/>
      <c r="O831" s="59"/>
    </row>
    <row r="832" ht="14.25" customHeight="1">
      <c r="A832" s="59"/>
      <c r="B832" s="60"/>
      <c r="C832" s="60"/>
      <c r="D832" s="59"/>
      <c r="E832" s="59"/>
      <c r="F832" s="60"/>
      <c r="G832" s="60"/>
      <c r="H832" s="60"/>
      <c r="I832" s="60"/>
      <c r="J832" s="60"/>
      <c r="K832" s="59"/>
      <c r="L832" s="59"/>
      <c r="M832" s="61"/>
      <c r="N832" s="59"/>
      <c r="O832" s="59"/>
    </row>
    <row r="833" ht="14.25" customHeight="1">
      <c r="A833" s="59"/>
      <c r="B833" s="60"/>
      <c r="C833" s="60"/>
      <c r="D833" s="59"/>
      <c r="E833" s="59"/>
      <c r="F833" s="60"/>
      <c r="G833" s="60"/>
      <c r="H833" s="60"/>
      <c r="I833" s="60"/>
      <c r="J833" s="60"/>
      <c r="K833" s="59"/>
      <c r="L833" s="59"/>
      <c r="M833" s="61"/>
      <c r="N833" s="59"/>
      <c r="O833" s="59"/>
    </row>
    <row r="834" ht="14.25" customHeight="1">
      <c r="A834" s="59"/>
      <c r="B834" s="60"/>
      <c r="C834" s="60"/>
      <c r="D834" s="59"/>
      <c r="E834" s="59"/>
      <c r="F834" s="60"/>
      <c r="G834" s="60"/>
      <c r="H834" s="60"/>
      <c r="I834" s="60"/>
      <c r="J834" s="60"/>
      <c r="K834" s="59"/>
      <c r="L834" s="59"/>
      <c r="M834" s="61"/>
      <c r="N834" s="59"/>
      <c r="O834" s="59"/>
    </row>
    <row r="835" ht="14.25" customHeight="1">
      <c r="A835" s="59"/>
      <c r="B835" s="60"/>
      <c r="C835" s="60"/>
      <c r="D835" s="59"/>
      <c r="E835" s="59"/>
      <c r="F835" s="60"/>
      <c r="G835" s="60"/>
      <c r="H835" s="60"/>
      <c r="I835" s="60"/>
      <c r="J835" s="60"/>
      <c r="K835" s="59"/>
      <c r="L835" s="59"/>
      <c r="M835" s="61"/>
      <c r="N835" s="59"/>
      <c r="O835" s="59"/>
    </row>
    <row r="836" ht="14.25" customHeight="1">
      <c r="A836" s="59"/>
      <c r="B836" s="60"/>
      <c r="C836" s="60"/>
      <c r="D836" s="59"/>
      <c r="E836" s="59"/>
      <c r="F836" s="60"/>
      <c r="G836" s="60"/>
      <c r="H836" s="60"/>
      <c r="I836" s="60"/>
      <c r="J836" s="60"/>
      <c r="K836" s="59"/>
      <c r="L836" s="59"/>
      <c r="M836" s="61"/>
      <c r="N836" s="59"/>
      <c r="O836" s="59"/>
    </row>
    <row r="837" ht="14.25" customHeight="1">
      <c r="A837" s="59"/>
      <c r="B837" s="60"/>
      <c r="C837" s="60"/>
      <c r="D837" s="59"/>
      <c r="E837" s="59"/>
      <c r="F837" s="60"/>
      <c r="G837" s="60"/>
      <c r="H837" s="60"/>
      <c r="I837" s="60"/>
      <c r="J837" s="60"/>
      <c r="K837" s="59"/>
      <c r="L837" s="59"/>
      <c r="M837" s="61"/>
      <c r="N837" s="59"/>
      <c r="O837" s="59"/>
    </row>
    <row r="838" ht="14.25" customHeight="1">
      <c r="A838" s="59"/>
      <c r="B838" s="60"/>
      <c r="C838" s="60"/>
      <c r="D838" s="59"/>
      <c r="E838" s="59"/>
      <c r="F838" s="60"/>
      <c r="G838" s="60"/>
      <c r="H838" s="60"/>
      <c r="I838" s="60"/>
      <c r="J838" s="60"/>
      <c r="K838" s="59"/>
      <c r="L838" s="59"/>
      <c r="M838" s="61"/>
      <c r="N838" s="59"/>
      <c r="O838" s="59"/>
    </row>
    <row r="839" ht="14.25" customHeight="1">
      <c r="A839" s="59"/>
      <c r="B839" s="60"/>
      <c r="C839" s="60"/>
      <c r="D839" s="59"/>
      <c r="E839" s="59"/>
      <c r="F839" s="60"/>
      <c r="G839" s="60"/>
      <c r="H839" s="60"/>
      <c r="I839" s="60"/>
      <c r="J839" s="60"/>
      <c r="K839" s="59"/>
      <c r="L839" s="59"/>
      <c r="M839" s="61"/>
      <c r="N839" s="59"/>
      <c r="O839" s="59"/>
    </row>
    <row r="840" ht="14.25" customHeight="1">
      <c r="A840" s="59"/>
      <c r="B840" s="60"/>
      <c r="C840" s="60"/>
      <c r="D840" s="59"/>
      <c r="E840" s="59"/>
      <c r="F840" s="60"/>
      <c r="G840" s="60"/>
      <c r="H840" s="60"/>
      <c r="I840" s="60"/>
      <c r="J840" s="60"/>
      <c r="K840" s="59"/>
      <c r="L840" s="59"/>
      <c r="M840" s="61"/>
      <c r="N840" s="59"/>
      <c r="O840" s="59"/>
    </row>
    <row r="841" ht="14.25" customHeight="1">
      <c r="A841" s="59"/>
      <c r="B841" s="60"/>
      <c r="C841" s="60"/>
      <c r="D841" s="59"/>
      <c r="E841" s="59"/>
      <c r="F841" s="60"/>
      <c r="G841" s="60"/>
      <c r="H841" s="60"/>
      <c r="I841" s="60"/>
      <c r="J841" s="60"/>
      <c r="K841" s="59"/>
      <c r="L841" s="59"/>
      <c r="M841" s="61"/>
      <c r="N841" s="59"/>
      <c r="O841" s="59"/>
    </row>
    <row r="842" ht="14.25" customHeight="1">
      <c r="A842" s="59"/>
      <c r="B842" s="60"/>
      <c r="C842" s="60"/>
      <c r="D842" s="59"/>
      <c r="E842" s="59"/>
      <c r="F842" s="60"/>
      <c r="G842" s="60"/>
      <c r="H842" s="60"/>
      <c r="I842" s="60"/>
      <c r="J842" s="60"/>
      <c r="K842" s="59"/>
      <c r="L842" s="59"/>
      <c r="M842" s="61"/>
      <c r="N842" s="59"/>
      <c r="O842" s="59"/>
    </row>
    <row r="843" ht="14.25" customHeight="1">
      <c r="A843" s="59"/>
      <c r="B843" s="60"/>
      <c r="C843" s="60"/>
      <c r="D843" s="59"/>
      <c r="E843" s="59"/>
      <c r="F843" s="60"/>
      <c r="G843" s="60"/>
      <c r="H843" s="60"/>
      <c r="I843" s="60"/>
      <c r="J843" s="60"/>
      <c r="K843" s="59"/>
      <c r="L843" s="59"/>
      <c r="M843" s="61"/>
      <c r="N843" s="59"/>
      <c r="O843" s="59"/>
    </row>
    <row r="844" ht="14.25" customHeight="1">
      <c r="A844" s="59"/>
      <c r="B844" s="60"/>
      <c r="C844" s="60"/>
      <c r="D844" s="59"/>
      <c r="E844" s="59"/>
      <c r="F844" s="60"/>
      <c r="G844" s="60"/>
      <c r="H844" s="60"/>
      <c r="I844" s="60"/>
      <c r="J844" s="60"/>
      <c r="K844" s="59"/>
      <c r="L844" s="59"/>
      <c r="M844" s="61"/>
      <c r="N844" s="59"/>
      <c r="O844" s="59"/>
    </row>
    <row r="845" ht="14.25" customHeight="1">
      <c r="A845" s="59"/>
      <c r="B845" s="60"/>
      <c r="C845" s="60"/>
      <c r="D845" s="59"/>
      <c r="E845" s="59"/>
      <c r="F845" s="60"/>
      <c r="G845" s="60"/>
      <c r="H845" s="60"/>
      <c r="I845" s="60"/>
      <c r="J845" s="60"/>
      <c r="K845" s="59"/>
      <c r="L845" s="59"/>
      <c r="M845" s="61"/>
      <c r="N845" s="59"/>
      <c r="O845" s="59"/>
    </row>
    <row r="846" ht="14.25" customHeight="1">
      <c r="A846" s="59"/>
      <c r="B846" s="60"/>
      <c r="C846" s="60"/>
      <c r="D846" s="59"/>
      <c r="E846" s="59"/>
      <c r="F846" s="60"/>
      <c r="G846" s="60"/>
      <c r="H846" s="60"/>
      <c r="I846" s="60"/>
      <c r="J846" s="60"/>
      <c r="K846" s="59"/>
      <c r="L846" s="59"/>
      <c r="M846" s="61"/>
      <c r="N846" s="59"/>
      <c r="O846" s="59"/>
    </row>
    <row r="847" ht="14.25" customHeight="1">
      <c r="A847" s="59"/>
      <c r="B847" s="60"/>
      <c r="C847" s="60"/>
      <c r="D847" s="59"/>
      <c r="E847" s="59"/>
      <c r="F847" s="60"/>
      <c r="G847" s="60"/>
      <c r="H847" s="60"/>
      <c r="I847" s="60"/>
      <c r="J847" s="60"/>
      <c r="K847" s="59"/>
      <c r="L847" s="59"/>
      <c r="M847" s="61"/>
      <c r="N847" s="59"/>
      <c r="O847" s="59"/>
    </row>
    <row r="848" ht="14.25" customHeight="1">
      <c r="A848" s="59"/>
      <c r="B848" s="60"/>
      <c r="C848" s="60"/>
      <c r="D848" s="59"/>
      <c r="E848" s="59"/>
      <c r="F848" s="60"/>
      <c r="G848" s="60"/>
      <c r="H848" s="60"/>
      <c r="I848" s="60"/>
      <c r="J848" s="60"/>
      <c r="K848" s="59"/>
      <c r="L848" s="59"/>
      <c r="M848" s="61"/>
      <c r="N848" s="59"/>
      <c r="O848" s="59"/>
    </row>
    <row r="849" ht="14.25" customHeight="1">
      <c r="A849" s="59"/>
      <c r="B849" s="60"/>
      <c r="C849" s="60"/>
      <c r="D849" s="59"/>
      <c r="E849" s="59"/>
      <c r="F849" s="60"/>
      <c r="G849" s="60"/>
      <c r="H849" s="60"/>
      <c r="I849" s="60"/>
      <c r="J849" s="60"/>
      <c r="K849" s="59"/>
      <c r="L849" s="59"/>
      <c r="M849" s="61"/>
      <c r="N849" s="59"/>
      <c r="O849" s="59"/>
    </row>
    <row r="850" ht="14.25" customHeight="1">
      <c r="A850" s="59"/>
      <c r="B850" s="60"/>
      <c r="C850" s="60"/>
      <c r="D850" s="59"/>
      <c r="E850" s="59"/>
      <c r="F850" s="60"/>
      <c r="G850" s="60"/>
      <c r="H850" s="60"/>
      <c r="I850" s="60"/>
      <c r="J850" s="60"/>
      <c r="K850" s="59"/>
      <c r="L850" s="59"/>
      <c r="M850" s="61"/>
      <c r="N850" s="59"/>
      <c r="O850" s="59"/>
    </row>
    <row r="851" ht="14.25" customHeight="1">
      <c r="A851" s="59"/>
      <c r="B851" s="60"/>
      <c r="C851" s="60"/>
      <c r="D851" s="59"/>
      <c r="E851" s="59"/>
      <c r="F851" s="60"/>
      <c r="G851" s="60"/>
      <c r="H851" s="60"/>
      <c r="I851" s="60"/>
      <c r="J851" s="60"/>
      <c r="K851" s="59"/>
      <c r="L851" s="59"/>
      <c r="M851" s="61"/>
      <c r="N851" s="59"/>
      <c r="O851" s="59"/>
    </row>
    <row r="852" ht="14.25" customHeight="1">
      <c r="A852" s="59"/>
      <c r="B852" s="60"/>
      <c r="C852" s="60"/>
      <c r="D852" s="59"/>
      <c r="E852" s="59"/>
      <c r="F852" s="60"/>
      <c r="G852" s="60"/>
      <c r="H852" s="60"/>
      <c r="I852" s="60"/>
      <c r="J852" s="60"/>
      <c r="K852" s="59"/>
      <c r="L852" s="59"/>
      <c r="M852" s="61"/>
      <c r="N852" s="59"/>
      <c r="O852" s="59"/>
    </row>
    <row r="853" ht="14.25" customHeight="1">
      <c r="A853" s="59"/>
      <c r="B853" s="60"/>
      <c r="C853" s="60"/>
      <c r="D853" s="59"/>
      <c r="E853" s="59"/>
      <c r="F853" s="60"/>
      <c r="G853" s="60"/>
      <c r="H853" s="60"/>
      <c r="I853" s="60"/>
      <c r="J853" s="60"/>
      <c r="K853" s="59"/>
      <c r="L853" s="59"/>
      <c r="M853" s="61"/>
      <c r="N853" s="59"/>
      <c r="O853" s="59"/>
    </row>
    <row r="854" ht="14.25" customHeight="1">
      <c r="A854" s="59"/>
      <c r="B854" s="60"/>
      <c r="C854" s="60"/>
      <c r="D854" s="59"/>
      <c r="E854" s="59"/>
      <c r="F854" s="60"/>
      <c r="G854" s="60"/>
      <c r="H854" s="60"/>
      <c r="I854" s="60"/>
      <c r="J854" s="60"/>
      <c r="K854" s="59"/>
      <c r="L854" s="59"/>
      <c r="M854" s="61"/>
      <c r="N854" s="59"/>
      <c r="O854" s="59"/>
    </row>
    <row r="855" ht="14.25" customHeight="1">
      <c r="A855" s="59"/>
      <c r="B855" s="60"/>
      <c r="C855" s="60"/>
      <c r="D855" s="59"/>
      <c r="E855" s="59"/>
      <c r="F855" s="60"/>
      <c r="G855" s="60"/>
      <c r="H855" s="60"/>
      <c r="I855" s="60"/>
      <c r="J855" s="60"/>
      <c r="K855" s="59"/>
      <c r="L855" s="59"/>
      <c r="M855" s="61"/>
      <c r="N855" s="59"/>
      <c r="O855" s="59"/>
    </row>
    <row r="856" ht="14.25" customHeight="1">
      <c r="A856" s="59"/>
      <c r="B856" s="60"/>
      <c r="C856" s="60"/>
      <c r="D856" s="59"/>
      <c r="E856" s="59"/>
      <c r="F856" s="60"/>
      <c r="G856" s="60"/>
      <c r="H856" s="60"/>
      <c r="I856" s="60"/>
      <c r="J856" s="60"/>
      <c r="K856" s="59"/>
      <c r="L856" s="59"/>
      <c r="M856" s="61"/>
      <c r="N856" s="59"/>
      <c r="O856" s="59"/>
    </row>
    <row r="857" ht="14.25" customHeight="1">
      <c r="A857" s="59"/>
      <c r="B857" s="60"/>
      <c r="C857" s="60"/>
      <c r="D857" s="59"/>
      <c r="E857" s="59"/>
      <c r="F857" s="60"/>
      <c r="G857" s="60"/>
      <c r="H857" s="60"/>
      <c r="I857" s="60"/>
      <c r="J857" s="60"/>
      <c r="K857" s="59"/>
      <c r="L857" s="59"/>
      <c r="M857" s="61"/>
      <c r="N857" s="59"/>
      <c r="O857" s="59"/>
    </row>
    <row r="858" ht="14.25" customHeight="1">
      <c r="A858" s="59"/>
      <c r="B858" s="60"/>
      <c r="C858" s="60"/>
      <c r="D858" s="59"/>
      <c r="E858" s="59"/>
      <c r="F858" s="60"/>
      <c r="G858" s="60"/>
      <c r="H858" s="60"/>
      <c r="I858" s="60"/>
      <c r="J858" s="60"/>
      <c r="K858" s="59"/>
      <c r="L858" s="59"/>
      <c r="M858" s="61"/>
      <c r="N858" s="59"/>
      <c r="O858" s="59"/>
    </row>
    <row r="859" ht="14.25" customHeight="1">
      <c r="A859" s="59"/>
      <c r="B859" s="60"/>
      <c r="C859" s="60"/>
      <c r="D859" s="59"/>
      <c r="E859" s="59"/>
      <c r="F859" s="60"/>
      <c r="G859" s="60"/>
      <c r="H859" s="60"/>
      <c r="I859" s="60"/>
      <c r="J859" s="60"/>
      <c r="K859" s="59"/>
      <c r="L859" s="59"/>
      <c r="M859" s="61"/>
      <c r="N859" s="59"/>
      <c r="O859" s="59"/>
    </row>
    <row r="860" ht="14.25" customHeight="1">
      <c r="A860" s="59"/>
      <c r="B860" s="60"/>
      <c r="C860" s="60"/>
      <c r="D860" s="59"/>
      <c r="E860" s="59"/>
      <c r="F860" s="60"/>
      <c r="G860" s="60"/>
      <c r="H860" s="60"/>
      <c r="I860" s="60"/>
      <c r="J860" s="60"/>
      <c r="K860" s="59"/>
      <c r="L860" s="59"/>
      <c r="M860" s="61"/>
      <c r="N860" s="59"/>
      <c r="O860" s="59"/>
    </row>
    <row r="861" ht="14.25" customHeight="1">
      <c r="A861" s="59"/>
      <c r="B861" s="60"/>
      <c r="C861" s="60"/>
      <c r="D861" s="59"/>
      <c r="E861" s="59"/>
      <c r="F861" s="60"/>
      <c r="G861" s="60"/>
      <c r="H861" s="60"/>
      <c r="I861" s="60"/>
      <c r="J861" s="60"/>
      <c r="K861" s="59"/>
      <c r="L861" s="59"/>
      <c r="M861" s="61"/>
      <c r="N861" s="59"/>
      <c r="O861" s="59"/>
    </row>
    <row r="862" ht="14.25" customHeight="1">
      <c r="A862" s="59"/>
      <c r="B862" s="60"/>
      <c r="C862" s="60"/>
      <c r="D862" s="59"/>
      <c r="E862" s="59"/>
      <c r="F862" s="60"/>
      <c r="G862" s="60"/>
      <c r="H862" s="60"/>
      <c r="I862" s="60"/>
      <c r="J862" s="60"/>
      <c r="K862" s="59"/>
      <c r="L862" s="59"/>
      <c r="M862" s="61"/>
      <c r="N862" s="59"/>
      <c r="O862" s="59"/>
    </row>
    <row r="863" ht="14.25" customHeight="1">
      <c r="A863" s="59"/>
      <c r="B863" s="60"/>
      <c r="C863" s="60"/>
      <c r="D863" s="59"/>
      <c r="E863" s="59"/>
      <c r="F863" s="60"/>
      <c r="G863" s="60"/>
      <c r="H863" s="60"/>
      <c r="I863" s="60"/>
      <c r="J863" s="60"/>
      <c r="K863" s="59"/>
      <c r="L863" s="59"/>
      <c r="M863" s="61"/>
      <c r="N863" s="59"/>
      <c r="O863" s="59"/>
    </row>
    <row r="864" ht="14.25" customHeight="1">
      <c r="A864" s="59"/>
      <c r="B864" s="60"/>
      <c r="C864" s="60"/>
      <c r="D864" s="59"/>
      <c r="E864" s="59"/>
      <c r="F864" s="60"/>
      <c r="G864" s="60"/>
      <c r="H864" s="60"/>
      <c r="I864" s="60"/>
      <c r="J864" s="60"/>
      <c r="K864" s="59"/>
      <c r="L864" s="59"/>
      <c r="M864" s="61"/>
      <c r="N864" s="59"/>
      <c r="O864" s="59"/>
    </row>
    <row r="865" ht="14.25" customHeight="1">
      <c r="A865" s="59"/>
      <c r="B865" s="60"/>
      <c r="C865" s="60"/>
      <c r="D865" s="59"/>
      <c r="E865" s="59"/>
      <c r="F865" s="60"/>
      <c r="G865" s="60"/>
      <c r="H865" s="60"/>
      <c r="I865" s="60"/>
      <c r="J865" s="60"/>
      <c r="K865" s="59"/>
      <c r="L865" s="59"/>
      <c r="M865" s="61"/>
      <c r="N865" s="59"/>
      <c r="O865" s="59"/>
    </row>
    <row r="866" ht="14.25" customHeight="1">
      <c r="A866" s="59"/>
      <c r="B866" s="60"/>
      <c r="C866" s="60"/>
      <c r="D866" s="59"/>
      <c r="E866" s="59"/>
      <c r="F866" s="60"/>
      <c r="G866" s="60"/>
      <c r="H866" s="60"/>
      <c r="I866" s="60"/>
      <c r="J866" s="60"/>
      <c r="K866" s="59"/>
      <c r="L866" s="59"/>
      <c r="M866" s="61"/>
      <c r="N866" s="59"/>
      <c r="O866" s="59"/>
    </row>
    <row r="867" ht="14.25" customHeight="1">
      <c r="A867" s="59"/>
      <c r="B867" s="60"/>
      <c r="C867" s="60"/>
      <c r="D867" s="59"/>
      <c r="E867" s="59"/>
      <c r="F867" s="60"/>
      <c r="G867" s="60"/>
      <c r="H867" s="60"/>
      <c r="I867" s="60"/>
      <c r="J867" s="60"/>
      <c r="K867" s="59"/>
      <c r="L867" s="59"/>
      <c r="M867" s="61"/>
      <c r="N867" s="59"/>
      <c r="O867" s="59"/>
    </row>
    <row r="868" ht="14.25" customHeight="1">
      <c r="A868" s="59"/>
      <c r="B868" s="60"/>
      <c r="C868" s="60"/>
      <c r="D868" s="59"/>
      <c r="E868" s="59"/>
      <c r="F868" s="60"/>
      <c r="G868" s="60"/>
      <c r="H868" s="60"/>
      <c r="I868" s="60"/>
      <c r="J868" s="60"/>
      <c r="K868" s="59"/>
      <c r="L868" s="59"/>
      <c r="M868" s="61"/>
      <c r="N868" s="59"/>
      <c r="O868" s="59"/>
    </row>
    <row r="869" ht="14.25" customHeight="1">
      <c r="A869" s="59"/>
      <c r="B869" s="60"/>
      <c r="C869" s="60"/>
      <c r="D869" s="59"/>
      <c r="E869" s="59"/>
      <c r="F869" s="60"/>
      <c r="G869" s="60"/>
      <c r="H869" s="60"/>
      <c r="I869" s="60"/>
      <c r="J869" s="60"/>
      <c r="K869" s="59"/>
      <c r="L869" s="59"/>
      <c r="M869" s="61"/>
      <c r="N869" s="59"/>
      <c r="O869" s="59"/>
    </row>
    <row r="870" ht="14.25" customHeight="1">
      <c r="A870" s="59"/>
      <c r="B870" s="60"/>
      <c r="C870" s="60"/>
      <c r="D870" s="59"/>
      <c r="E870" s="59"/>
      <c r="F870" s="60"/>
      <c r="G870" s="60"/>
      <c r="H870" s="60"/>
      <c r="I870" s="60"/>
      <c r="J870" s="60"/>
      <c r="K870" s="59"/>
      <c r="L870" s="59"/>
      <c r="M870" s="61"/>
      <c r="N870" s="59"/>
      <c r="O870" s="59"/>
    </row>
    <row r="871" ht="14.25" customHeight="1">
      <c r="A871" s="59"/>
      <c r="B871" s="60"/>
      <c r="C871" s="60"/>
      <c r="D871" s="59"/>
      <c r="E871" s="59"/>
      <c r="F871" s="60"/>
      <c r="G871" s="60"/>
      <c r="H871" s="60"/>
      <c r="I871" s="60"/>
      <c r="J871" s="60"/>
      <c r="K871" s="59"/>
      <c r="L871" s="59"/>
      <c r="M871" s="61"/>
      <c r="N871" s="59"/>
      <c r="O871" s="59"/>
    </row>
    <row r="872" ht="14.25" customHeight="1">
      <c r="A872" s="59"/>
      <c r="B872" s="60"/>
      <c r="C872" s="60"/>
      <c r="D872" s="59"/>
      <c r="E872" s="59"/>
      <c r="F872" s="60"/>
      <c r="G872" s="60"/>
      <c r="H872" s="60"/>
      <c r="I872" s="60"/>
      <c r="J872" s="60"/>
      <c r="K872" s="59"/>
      <c r="L872" s="59"/>
      <c r="M872" s="61"/>
      <c r="N872" s="59"/>
      <c r="O872" s="59"/>
    </row>
    <row r="873" ht="14.25" customHeight="1">
      <c r="A873" s="59"/>
      <c r="B873" s="60"/>
      <c r="C873" s="60"/>
      <c r="D873" s="59"/>
      <c r="E873" s="59"/>
      <c r="F873" s="60"/>
      <c r="G873" s="60"/>
      <c r="H873" s="60"/>
      <c r="I873" s="60"/>
      <c r="J873" s="60"/>
      <c r="K873" s="59"/>
      <c r="L873" s="59"/>
      <c r="M873" s="61"/>
      <c r="N873" s="59"/>
      <c r="O873" s="59"/>
    </row>
    <row r="874" ht="14.25" customHeight="1">
      <c r="A874" s="59"/>
      <c r="B874" s="60"/>
      <c r="C874" s="60"/>
      <c r="D874" s="59"/>
      <c r="E874" s="59"/>
      <c r="F874" s="60"/>
      <c r="G874" s="60"/>
      <c r="H874" s="60"/>
      <c r="I874" s="60"/>
      <c r="J874" s="60"/>
      <c r="K874" s="59"/>
      <c r="L874" s="59"/>
      <c r="M874" s="61"/>
      <c r="N874" s="59"/>
      <c r="O874" s="59"/>
    </row>
    <row r="875" ht="14.25" customHeight="1">
      <c r="A875" s="59"/>
      <c r="B875" s="60"/>
      <c r="C875" s="60"/>
      <c r="D875" s="59"/>
      <c r="E875" s="59"/>
      <c r="F875" s="60"/>
      <c r="G875" s="60"/>
      <c r="H875" s="60"/>
      <c r="I875" s="60"/>
      <c r="J875" s="60"/>
      <c r="K875" s="59"/>
      <c r="L875" s="59"/>
      <c r="M875" s="61"/>
      <c r="N875" s="59"/>
      <c r="O875" s="59"/>
    </row>
    <row r="876" ht="14.25" customHeight="1">
      <c r="A876" s="59"/>
      <c r="B876" s="60"/>
      <c r="C876" s="60"/>
      <c r="D876" s="59"/>
      <c r="E876" s="59"/>
      <c r="F876" s="60"/>
      <c r="G876" s="60"/>
      <c r="H876" s="60"/>
      <c r="I876" s="60"/>
      <c r="J876" s="60"/>
      <c r="K876" s="59"/>
      <c r="L876" s="59"/>
      <c r="M876" s="61"/>
      <c r="N876" s="59"/>
      <c r="O876" s="59"/>
    </row>
    <row r="877" ht="14.25" customHeight="1">
      <c r="A877" s="59"/>
      <c r="B877" s="60"/>
      <c r="C877" s="60"/>
      <c r="D877" s="59"/>
      <c r="E877" s="59"/>
      <c r="F877" s="60"/>
      <c r="G877" s="60"/>
      <c r="H877" s="60"/>
      <c r="I877" s="60"/>
      <c r="J877" s="60"/>
      <c r="K877" s="59"/>
      <c r="L877" s="59"/>
      <c r="M877" s="61"/>
      <c r="N877" s="59"/>
      <c r="O877" s="59"/>
    </row>
    <row r="878" ht="14.25" customHeight="1">
      <c r="A878" s="59"/>
      <c r="B878" s="60"/>
      <c r="C878" s="60"/>
      <c r="D878" s="59"/>
      <c r="E878" s="59"/>
      <c r="F878" s="60"/>
      <c r="G878" s="60"/>
      <c r="H878" s="60"/>
      <c r="I878" s="60"/>
      <c r="J878" s="60"/>
      <c r="K878" s="59"/>
      <c r="L878" s="59"/>
      <c r="M878" s="61"/>
      <c r="N878" s="59"/>
      <c r="O878" s="59"/>
    </row>
    <row r="879" ht="14.25" customHeight="1">
      <c r="A879" s="59"/>
      <c r="B879" s="60"/>
      <c r="C879" s="60"/>
      <c r="D879" s="59"/>
      <c r="E879" s="59"/>
      <c r="F879" s="60"/>
      <c r="G879" s="60"/>
      <c r="H879" s="60"/>
      <c r="I879" s="60"/>
      <c r="J879" s="60"/>
      <c r="K879" s="59"/>
      <c r="L879" s="59"/>
      <c r="M879" s="61"/>
      <c r="N879" s="59"/>
      <c r="O879" s="59"/>
    </row>
    <row r="880" ht="14.25" customHeight="1">
      <c r="A880" s="59"/>
      <c r="B880" s="60"/>
      <c r="C880" s="60"/>
      <c r="D880" s="59"/>
      <c r="E880" s="59"/>
      <c r="F880" s="60"/>
      <c r="G880" s="60"/>
      <c r="H880" s="60"/>
      <c r="I880" s="60"/>
      <c r="J880" s="60"/>
      <c r="K880" s="59"/>
      <c r="L880" s="59"/>
      <c r="M880" s="61"/>
      <c r="N880" s="59"/>
      <c r="O880" s="59"/>
    </row>
    <row r="881" ht="14.25" customHeight="1">
      <c r="A881" s="59"/>
      <c r="B881" s="60"/>
      <c r="C881" s="60"/>
      <c r="D881" s="59"/>
      <c r="E881" s="59"/>
      <c r="F881" s="60"/>
      <c r="G881" s="60"/>
      <c r="H881" s="60"/>
      <c r="I881" s="60"/>
      <c r="J881" s="60"/>
      <c r="K881" s="59"/>
      <c r="L881" s="59"/>
      <c r="M881" s="61"/>
      <c r="N881" s="59"/>
      <c r="O881" s="59"/>
    </row>
    <row r="882" ht="14.25" customHeight="1">
      <c r="A882" s="59"/>
      <c r="B882" s="60"/>
      <c r="C882" s="60"/>
      <c r="D882" s="59"/>
      <c r="E882" s="59"/>
      <c r="F882" s="60"/>
      <c r="G882" s="60"/>
      <c r="H882" s="60"/>
      <c r="I882" s="60"/>
      <c r="J882" s="60"/>
      <c r="K882" s="59"/>
      <c r="L882" s="59"/>
      <c r="M882" s="61"/>
      <c r="N882" s="59"/>
      <c r="O882" s="59"/>
    </row>
    <row r="883" ht="14.25" customHeight="1">
      <c r="A883" s="59"/>
      <c r="B883" s="60"/>
      <c r="C883" s="60"/>
      <c r="D883" s="59"/>
      <c r="E883" s="59"/>
      <c r="F883" s="60"/>
      <c r="G883" s="60"/>
      <c r="H883" s="60"/>
      <c r="I883" s="60"/>
      <c r="J883" s="60"/>
      <c r="K883" s="59"/>
      <c r="L883" s="59"/>
      <c r="M883" s="61"/>
      <c r="N883" s="59"/>
      <c r="O883" s="59"/>
    </row>
    <row r="884" ht="14.25" customHeight="1">
      <c r="A884" s="59"/>
      <c r="B884" s="60"/>
      <c r="C884" s="60"/>
      <c r="D884" s="59"/>
      <c r="E884" s="59"/>
      <c r="F884" s="60"/>
      <c r="G884" s="60"/>
      <c r="H884" s="60"/>
      <c r="I884" s="60"/>
      <c r="J884" s="60"/>
      <c r="K884" s="59"/>
      <c r="L884" s="59"/>
      <c r="M884" s="61"/>
      <c r="N884" s="59"/>
      <c r="O884" s="59"/>
    </row>
    <row r="885" ht="14.25" customHeight="1">
      <c r="A885" s="59"/>
      <c r="B885" s="60"/>
      <c r="C885" s="60"/>
      <c r="D885" s="59"/>
      <c r="E885" s="59"/>
      <c r="F885" s="60"/>
      <c r="G885" s="60"/>
      <c r="H885" s="60"/>
      <c r="I885" s="60"/>
      <c r="J885" s="60"/>
      <c r="K885" s="59"/>
      <c r="L885" s="59"/>
      <c r="M885" s="61"/>
      <c r="N885" s="59"/>
      <c r="O885" s="59"/>
    </row>
    <row r="886" ht="14.25" customHeight="1">
      <c r="A886" s="59"/>
      <c r="B886" s="60"/>
      <c r="C886" s="60"/>
      <c r="D886" s="59"/>
      <c r="E886" s="59"/>
      <c r="F886" s="60"/>
      <c r="G886" s="60"/>
      <c r="H886" s="60"/>
      <c r="I886" s="60"/>
      <c r="J886" s="60"/>
      <c r="K886" s="59"/>
      <c r="L886" s="59"/>
      <c r="M886" s="61"/>
      <c r="N886" s="59"/>
      <c r="O886" s="59"/>
    </row>
    <row r="887" ht="14.25" customHeight="1">
      <c r="A887" s="59"/>
      <c r="B887" s="60"/>
      <c r="C887" s="60"/>
      <c r="D887" s="59"/>
      <c r="E887" s="59"/>
      <c r="F887" s="60"/>
      <c r="G887" s="60"/>
      <c r="H887" s="60"/>
      <c r="I887" s="60"/>
      <c r="J887" s="60"/>
      <c r="K887" s="59"/>
      <c r="L887" s="59"/>
      <c r="M887" s="61"/>
      <c r="N887" s="59"/>
      <c r="O887" s="59"/>
    </row>
    <row r="888" ht="14.25" customHeight="1">
      <c r="A888" s="59"/>
      <c r="B888" s="60"/>
      <c r="C888" s="60"/>
      <c r="D888" s="59"/>
      <c r="E888" s="59"/>
      <c r="F888" s="60"/>
      <c r="G888" s="60"/>
      <c r="H888" s="60"/>
      <c r="I888" s="60"/>
      <c r="J888" s="60"/>
      <c r="K888" s="59"/>
      <c r="L888" s="59"/>
      <c r="M888" s="61"/>
      <c r="N888" s="59"/>
      <c r="O888" s="59"/>
    </row>
    <row r="889" ht="14.25" customHeight="1">
      <c r="A889" s="59"/>
      <c r="B889" s="60"/>
      <c r="C889" s="60"/>
      <c r="D889" s="59"/>
      <c r="E889" s="59"/>
      <c r="F889" s="60"/>
      <c r="G889" s="60"/>
      <c r="H889" s="60"/>
      <c r="I889" s="60"/>
      <c r="J889" s="60"/>
      <c r="K889" s="59"/>
      <c r="L889" s="59"/>
      <c r="M889" s="61"/>
      <c r="N889" s="59"/>
      <c r="O889" s="59"/>
    </row>
    <row r="890" ht="14.25" customHeight="1">
      <c r="A890" s="59"/>
      <c r="B890" s="60"/>
      <c r="C890" s="60"/>
      <c r="D890" s="59"/>
      <c r="E890" s="59"/>
      <c r="F890" s="60"/>
      <c r="G890" s="60"/>
      <c r="H890" s="60"/>
      <c r="I890" s="60"/>
      <c r="J890" s="60"/>
      <c r="K890" s="59"/>
      <c r="L890" s="59"/>
      <c r="M890" s="61"/>
      <c r="N890" s="59"/>
      <c r="O890" s="59"/>
    </row>
    <row r="891" ht="14.25" customHeight="1">
      <c r="A891" s="59"/>
      <c r="B891" s="60"/>
      <c r="C891" s="60"/>
      <c r="D891" s="59"/>
      <c r="E891" s="59"/>
      <c r="F891" s="60"/>
      <c r="G891" s="60"/>
      <c r="H891" s="60"/>
      <c r="I891" s="60"/>
      <c r="J891" s="60"/>
      <c r="K891" s="59"/>
      <c r="L891" s="59"/>
      <c r="M891" s="61"/>
      <c r="N891" s="59"/>
      <c r="O891" s="59"/>
    </row>
    <row r="892" ht="14.25" customHeight="1">
      <c r="A892" s="59"/>
      <c r="B892" s="60"/>
      <c r="C892" s="60"/>
      <c r="D892" s="59"/>
      <c r="E892" s="59"/>
      <c r="F892" s="60"/>
      <c r="G892" s="60"/>
      <c r="H892" s="60"/>
      <c r="I892" s="60"/>
      <c r="J892" s="60"/>
      <c r="K892" s="59"/>
      <c r="L892" s="59"/>
      <c r="M892" s="61"/>
      <c r="N892" s="59"/>
      <c r="O892" s="59"/>
    </row>
    <row r="893" ht="14.25" customHeight="1">
      <c r="A893" s="59"/>
      <c r="B893" s="60"/>
      <c r="C893" s="60"/>
      <c r="D893" s="59"/>
      <c r="E893" s="59"/>
      <c r="F893" s="60"/>
      <c r="G893" s="60"/>
      <c r="H893" s="60"/>
      <c r="I893" s="60"/>
      <c r="J893" s="60"/>
      <c r="K893" s="59"/>
      <c r="L893" s="59"/>
      <c r="M893" s="61"/>
      <c r="N893" s="59"/>
      <c r="O893" s="59"/>
    </row>
    <row r="894" ht="14.25" customHeight="1">
      <c r="A894" s="59"/>
      <c r="B894" s="60"/>
      <c r="C894" s="60"/>
      <c r="D894" s="59"/>
      <c r="E894" s="59"/>
      <c r="F894" s="60"/>
      <c r="G894" s="60"/>
      <c r="H894" s="60"/>
      <c r="I894" s="60"/>
      <c r="J894" s="60"/>
      <c r="K894" s="59"/>
      <c r="L894" s="59"/>
      <c r="M894" s="61"/>
      <c r="N894" s="59"/>
      <c r="O894" s="59"/>
    </row>
    <row r="895" ht="14.25" customHeight="1">
      <c r="A895" s="59"/>
      <c r="B895" s="60"/>
      <c r="C895" s="60"/>
      <c r="D895" s="59"/>
      <c r="E895" s="59"/>
      <c r="F895" s="60"/>
      <c r="G895" s="60"/>
      <c r="H895" s="60"/>
      <c r="I895" s="60"/>
      <c r="J895" s="60"/>
      <c r="K895" s="59"/>
      <c r="L895" s="59"/>
      <c r="M895" s="61"/>
      <c r="N895" s="59"/>
      <c r="O895" s="59"/>
    </row>
    <row r="896" ht="14.25" customHeight="1">
      <c r="A896" s="59"/>
      <c r="B896" s="60"/>
      <c r="C896" s="60"/>
      <c r="D896" s="59"/>
      <c r="E896" s="59"/>
      <c r="F896" s="60"/>
      <c r="G896" s="60"/>
      <c r="H896" s="60"/>
      <c r="I896" s="60"/>
      <c r="J896" s="60"/>
      <c r="K896" s="59"/>
      <c r="L896" s="59"/>
      <c r="M896" s="61"/>
      <c r="N896" s="59"/>
      <c r="O896" s="59"/>
    </row>
    <row r="897" ht="14.25" customHeight="1">
      <c r="A897" s="59"/>
      <c r="B897" s="60"/>
      <c r="C897" s="60"/>
      <c r="D897" s="59"/>
      <c r="E897" s="59"/>
      <c r="F897" s="60"/>
      <c r="G897" s="60"/>
      <c r="H897" s="60"/>
      <c r="I897" s="60"/>
      <c r="J897" s="60"/>
      <c r="K897" s="59"/>
      <c r="L897" s="59"/>
      <c r="M897" s="61"/>
      <c r="N897" s="59"/>
      <c r="O897" s="59"/>
    </row>
    <row r="898" ht="14.25" customHeight="1">
      <c r="A898" s="59"/>
      <c r="B898" s="60"/>
      <c r="C898" s="60"/>
      <c r="D898" s="59"/>
      <c r="E898" s="59"/>
      <c r="F898" s="60"/>
      <c r="G898" s="60"/>
      <c r="H898" s="60"/>
      <c r="I898" s="60"/>
      <c r="J898" s="60"/>
      <c r="K898" s="59"/>
      <c r="L898" s="59"/>
      <c r="M898" s="61"/>
      <c r="N898" s="59"/>
      <c r="O898" s="59"/>
    </row>
    <row r="899" ht="14.25" customHeight="1">
      <c r="A899" s="59"/>
      <c r="B899" s="60"/>
      <c r="C899" s="60"/>
      <c r="D899" s="59"/>
      <c r="E899" s="59"/>
      <c r="F899" s="60"/>
      <c r="G899" s="60"/>
      <c r="H899" s="60"/>
      <c r="I899" s="60"/>
      <c r="J899" s="60"/>
      <c r="K899" s="59"/>
      <c r="L899" s="59"/>
      <c r="M899" s="61"/>
      <c r="N899" s="59"/>
      <c r="O899" s="59"/>
    </row>
    <row r="900" ht="14.25" customHeight="1">
      <c r="A900" s="59"/>
      <c r="B900" s="60"/>
      <c r="C900" s="60"/>
      <c r="D900" s="59"/>
      <c r="E900" s="59"/>
      <c r="F900" s="60"/>
      <c r="G900" s="60"/>
      <c r="H900" s="60"/>
      <c r="I900" s="60"/>
      <c r="J900" s="60"/>
      <c r="K900" s="59"/>
      <c r="L900" s="59"/>
      <c r="M900" s="61"/>
      <c r="N900" s="59"/>
      <c r="O900" s="59"/>
    </row>
    <row r="901" ht="14.25" customHeight="1">
      <c r="A901" s="59"/>
      <c r="B901" s="60"/>
      <c r="C901" s="60"/>
      <c r="D901" s="59"/>
      <c r="E901" s="59"/>
      <c r="F901" s="60"/>
      <c r="G901" s="60"/>
      <c r="H901" s="60"/>
      <c r="I901" s="60"/>
      <c r="J901" s="60"/>
      <c r="K901" s="59"/>
      <c r="L901" s="59"/>
      <c r="M901" s="61"/>
      <c r="N901" s="59"/>
      <c r="O901" s="59"/>
    </row>
    <row r="902" ht="14.25" customHeight="1">
      <c r="A902" s="59"/>
      <c r="B902" s="60"/>
      <c r="C902" s="60"/>
      <c r="D902" s="59"/>
      <c r="E902" s="59"/>
      <c r="F902" s="60"/>
      <c r="G902" s="60"/>
      <c r="H902" s="60"/>
      <c r="I902" s="60"/>
      <c r="J902" s="60"/>
      <c r="K902" s="59"/>
      <c r="L902" s="59"/>
      <c r="M902" s="61"/>
      <c r="N902" s="59"/>
      <c r="O902" s="59"/>
    </row>
    <row r="903" ht="14.25" customHeight="1">
      <c r="A903" s="59"/>
      <c r="B903" s="60"/>
      <c r="C903" s="60"/>
      <c r="D903" s="59"/>
      <c r="E903" s="59"/>
      <c r="F903" s="60"/>
      <c r="G903" s="60"/>
      <c r="H903" s="60"/>
      <c r="I903" s="60"/>
      <c r="J903" s="60"/>
      <c r="K903" s="59"/>
      <c r="L903" s="59"/>
      <c r="M903" s="61"/>
      <c r="N903" s="59"/>
      <c r="O903" s="59"/>
    </row>
    <row r="904" ht="14.25" customHeight="1">
      <c r="A904" s="59"/>
      <c r="B904" s="60"/>
      <c r="C904" s="60"/>
      <c r="D904" s="59"/>
      <c r="E904" s="59"/>
      <c r="F904" s="60"/>
      <c r="G904" s="60"/>
      <c r="H904" s="60"/>
      <c r="I904" s="60"/>
      <c r="J904" s="60"/>
      <c r="K904" s="59"/>
      <c r="L904" s="59"/>
      <c r="M904" s="61"/>
      <c r="N904" s="59"/>
      <c r="O904" s="59"/>
    </row>
    <row r="905" ht="14.25" customHeight="1">
      <c r="A905" s="59"/>
      <c r="B905" s="60"/>
      <c r="C905" s="60"/>
      <c r="D905" s="59"/>
      <c r="E905" s="59"/>
      <c r="F905" s="60"/>
      <c r="G905" s="60"/>
      <c r="H905" s="60"/>
      <c r="I905" s="60"/>
      <c r="J905" s="60"/>
      <c r="K905" s="59"/>
      <c r="L905" s="59"/>
      <c r="M905" s="61"/>
      <c r="N905" s="59"/>
      <c r="O905" s="59"/>
    </row>
    <row r="906" ht="14.25" customHeight="1">
      <c r="A906" s="59"/>
      <c r="B906" s="60"/>
      <c r="C906" s="60"/>
      <c r="D906" s="59"/>
      <c r="E906" s="59"/>
      <c r="F906" s="60"/>
      <c r="G906" s="60"/>
      <c r="H906" s="60"/>
      <c r="I906" s="60"/>
      <c r="J906" s="60"/>
      <c r="K906" s="59"/>
      <c r="L906" s="59"/>
      <c r="M906" s="61"/>
      <c r="N906" s="59"/>
      <c r="O906" s="59"/>
    </row>
    <row r="907" ht="14.25" customHeight="1">
      <c r="A907" s="59"/>
      <c r="B907" s="60"/>
      <c r="C907" s="60"/>
      <c r="D907" s="59"/>
      <c r="E907" s="59"/>
      <c r="F907" s="60"/>
      <c r="G907" s="60"/>
      <c r="H907" s="60"/>
      <c r="I907" s="60"/>
      <c r="J907" s="60"/>
      <c r="K907" s="59"/>
      <c r="L907" s="59"/>
      <c r="M907" s="61"/>
      <c r="N907" s="59"/>
      <c r="O907" s="59"/>
    </row>
    <row r="908" ht="14.25" customHeight="1">
      <c r="A908" s="59"/>
      <c r="B908" s="60"/>
      <c r="C908" s="60"/>
      <c r="D908" s="59"/>
      <c r="E908" s="59"/>
      <c r="F908" s="60"/>
      <c r="G908" s="60"/>
      <c r="H908" s="60"/>
      <c r="I908" s="60"/>
      <c r="J908" s="60"/>
      <c r="K908" s="59"/>
      <c r="L908" s="59"/>
      <c r="M908" s="61"/>
      <c r="N908" s="59"/>
      <c r="O908" s="59"/>
    </row>
    <row r="909" ht="14.25" customHeight="1">
      <c r="A909" s="59"/>
      <c r="B909" s="60"/>
      <c r="C909" s="60"/>
      <c r="D909" s="59"/>
      <c r="E909" s="59"/>
      <c r="F909" s="60"/>
      <c r="G909" s="60"/>
      <c r="H909" s="60"/>
      <c r="I909" s="60"/>
      <c r="J909" s="60"/>
      <c r="K909" s="59"/>
      <c r="L909" s="59"/>
      <c r="M909" s="61"/>
      <c r="N909" s="59"/>
      <c r="O909" s="59"/>
    </row>
    <row r="910" ht="14.25" customHeight="1">
      <c r="A910" s="59"/>
      <c r="B910" s="60"/>
      <c r="C910" s="60"/>
      <c r="D910" s="59"/>
      <c r="E910" s="59"/>
      <c r="F910" s="60"/>
      <c r="G910" s="60"/>
      <c r="H910" s="60"/>
      <c r="I910" s="60"/>
      <c r="J910" s="60"/>
      <c r="K910" s="59"/>
      <c r="L910" s="59"/>
      <c r="M910" s="61"/>
      <c r="N910" s="59"/>
      <c r="O910" s="59"/>
    </row>
    <row r="911" ht="14.25" customHeight="1">
      <c r="A911" s="59"/>
      <c r="B911" s="60"/>
      <c r="C911" s="60"/>
      <c r="D911" s="59"/>
      <c r="E911" s="59"/>
      <c r="F911" s="60"/>
      <c r="G911" s="60"/>
      <c r="H911" s="60"/>
      <c r="I911" s="60"/>
      <c r="J911" s="60"/>
      <c r="K911" s="59"/>
      <c r="L911" s="59"/>
      <c r="M911" s="61"/>
      <c r="N911" s="59"/>
      <c r="O911" s="59"/>
    </row>
    <row r="912" ht="14.25" customHeight="1">
      <c r="A912" s="59"/>
      <c r="B912" s="60"/>
      <c r="C912" s="60"/>
      <c r="D912" s="59"/>
      <c r="E912" s="59"/>
      <c r="F912" s="60"/>
      <c r="G912" s="60"/>
      <c r="H912" s="60"/>
      <c r="I912" s="60"/>
      <c r="J912" s="60"/>
      <c r="K912" s="59"/>
      <c r="L912" s="59"/>
      <c r="M912" s="61"/>
      <c r="N912" s="59"/>
      <c r="O912" s="59"/>
    </row>
    <row r="913" ht="14.25" customHeight="1">
      <c r="A913" s="59"/>
      <c r="B913" s="60"/>
      <c r="C913" s="60"/>
      <c r="D913" s="59"/>
      <c r="E913" s="59"/>
      <c r="F913" s="60"/>
      <c r="G913" s="60"/>
      <c r="H913" s="60"/>
      <c r="I913" s="60"/>
      <c r="J913" s="60"/>
      <c r="K913" s="59"/>
      <c r="L913" s="59"/>
      <c r="M913" s="61"/>
      <c r="N913" s="59"/>
      <c r="O913" s="59"/>
    </row>
    <row r="914" ht="14.25" customHeight="1">
      <c r="A914" s="59"/>
      <c r="B914" s="60"/>
      <c r="C914" s="60"/>
      <c r="D914" s="59"/>
      <c r="E914" s="59"/>
      <c r="F914" s="60"/>
      <c r="G914" s="60"/>
      <c r="H914" s="60"/>
      <c r="I914" s="60"/>
      <c r="J914" s="60"/>
      <c r="K914" s="59"/>
      <c r="L914" s="59"/>
      <c r="M914" s="61"/>
      <c r="N914" s="59"/>
      <c r="O914" s="59"/>
    </row>
    <row r="915" ht="14.25" customHeight="1">
      <c r="A915" s="59"/>
      <c r="B915" s="60"/>
      <c r="C915" s="60"/>
      <c r="D915" s="59"/>
      <c r="E915" s="59"/>
      <c r="F915" s="60"/>
      <c r="G915" s="60"/>
      <c r="H915" s="60"/>
      <c r="I915" s="60"/>
      <c r="J915" s="60"/>
      <c r="K915" s="59"/>
      <c r="L915" s="59"/>
      <c r="M915" s="61"/>
      <c r="N915" s="59"/>
      <c r="O915" s="59"/>
    </row>
    <row r="916" ht="14.25" customHeight="1">
      <c r="A916" s="59"/>
      <c r="B916" s="60"/>
      <c r="C916" s="60"/>
      <c r="D916" s="59"/>
      <c r="E916" s="59"/>
      <c r="F916" s="60"/>
      <c r="G916" s="60"/>
      <c r="H916" s="60"/>
      <c r="I916" s="60"/>
      <c r="J916" s="60"/>
      <c r="K916" s="59"/>
      <c r="L916" s="59"/>
      <c r="M916" s="61"/>
      <c r="N916" s="59"/>
      <c r="O916" s="59"/>
    </row>
    <row r="917" ht="14.25" customHeight="1">
      <c r="A917" s="59"/>
      <c r="B917" s="60"/>
      <c r="C917" s="60"/>
      <c r="D917" s="59"/>
      <c r="E917" s="59"/>
      <c r="F917" s="60"/>
      <c r="G917" s="60"/>
      <c r="H917" s="60"/>
      <c r="I917" s="60"/>
      <c r="J917" s="60"/>
      <c r="K917" s="59"/>
      <c r="L917" s="59"/>
      <c r="M917" s="61"/>
      <c r="N917" s="59"/>
      <c r="O917" s="59"/>
    </row>
    <row r="918" ht="14.25" customHeight="1">
      <c r="A918" s="59"/>
      <c r="B918" s="60"/>
      <c r="C918" s="60"/>
      <c r="D918" s="59"/>
      <c r="E918" s="59"/>
      <c r="F918" s="60"/>
      <c r="G918" s="60"/>
      <c r="H918" s="60"/>
      <c r="I918" s="60"/>
      <c r="J918" s="60"/>
      <c r="K918" s="59"/>
      <c r="L918" s="59"/>
      <c r="M918" s="61"/>
      <c r="N918" s="59"/>
      <c r="O918" s="59"/>
    </row>
    <row r="919" ht="14.25" customHeight="1">
      <c r="A919" s="59"/>
      <c r="B919" s="60"/>
      <c r="C919" s="60"/>
      <c r="D919" s="59"/>
      <c r="E919" s="59"/>
      <c r="F919" s="60"/>
      <c r="G919" s="60"/>
      <c r="H919" s="60"/>
      <c r="I919" s="60"/>
      <c r="J919" s="60"/>
      <c r="K919" s="59"/>
      <c r="L919" s="59"/>
      <c r="M919" s="61"/>
      <c r="N919" s="59"/>
      <c r="O919" s="59"/>
    </row>
    <row r="920" ht="14.25" customHeight="1">
      <c r="A920" s="59"/>
      <c r="B920" s="60"/>
      <c r="C920" s="60"/>
      <c r="D920" s="59"/>
      <c r="E920" s="59"/>
      <c r="F920" s="60"/>
      <c r="G920" s="60"/>
      <c r="H920" s="60"/>
      <c r="I920" s="60"/>
      <c r="J920" s="60"/>
      <c r="K920" s="59"/>
      <c r="L920" s="59"/>
      <c r="M920" s="61"/>
      <c r="N920" s="59"/>
      <c r="O920" s="59"/>
    </row>
    <row r="921" ht="14.25" customHeight="1">
      <c r="A921" s="59"/>
      <c r="B921" s="60"/>
      <c r="C921" s="60"/>
      <c r="D921" s="59"/>
      <c r="E921" s="59"/>
      <c r="F921" s="60"/>
      <c r="G921" s="60"/>
      <c r="H921" s="60"/>
      <c r="I921" s="60"/>
      <c r="J921" s="60"/>
      <c r="K921" s="59"/>
      <c r="L921" s="59"/>
      <c r="M921" s="61"/>
      <c r="N921" s="59"/>
      <c r="O921" s="59"/>
    </row>
    <row r="922" ht="14.25" customHeight="1">
      <c r="A922" s="59"/>
      <c r="B922" s="60"/>
      <c r="C922" s="60"/>
      <c r="D922" s="59"/>
      <c r="E922" s="59"/>
      <c r="F922" s="60"/>
      <c r="G922" s="60"/>
      <c r="H922" s="60"/>
      <c r="I922" s="60"/>
      <c r="J922" s="60"/>
      <c r="K922" s="59"/>
      <c r="L922" s="59"/>
      <c r="M922" s="61"/>
      <c r="N922" s="59"/>
      <c r="O922" s="59"/>
    </row>
    <row r="923" ht="14.25" customHeight="1">
      <c r="A923" s="59"/>
      <c r="B923" s="60"/>
      <c r="C923" s="60"/>
      <c r="D923" s="59"/>
      <c r="E923" s="59"/>
      <c r="F923" s="60"/>
      <c r="G923" s="60"/>
      <c r="H923" s="60"/>
      <c r="I923" s="60"/>
      <c r="J923" s="60"/>
      <c r="K923" s="59"/>
      <c r="L923" s="59"/>
      <c r="M923" s="61"/>
      <c r="N923" s="59"/>
      <c r="O923" s="59"/>
    </row>
    <row r="924" ht="14.25" customHeight="1">
      <c r="A924" s="59"/>
      <c r="B924" s="60"/>
      <c r="C924" s="60"/>
      <c r="D924" s="59"/>
      <c r="E924" s="59"/>
      <c r="F924" s="60"/>
      <c r="G924" s="60"/>
      <c r="H924" s="60"/>
      <c r="I924" s="60"/>
      <c r="J924" s="60"/>
      <c r="K924" s="59"/>
      <c r="L924" s="59"/>
      <c r="M924" s="61"/>
      <c r="N924" s="59"/>
      <c r="O924" s="59"/>
    </row>
    <row r="925" ht="14.25" customHeight="1">
      <c r="A925" s="59"/>
      <c r="B925" s="60"/>
      <c r="C925" s="60"/>
      <c r="D925" s="59"/>
      <c r="E925" s="59"/>
      <c r="F925" s="60"/>
      <c r="G925" s="60"/>
      <c r="H925" s="60"/>
      <c r="I925" s="60"/>
      <c r="J925" s="60"/>
      <c r="K925" s="59"/>
      <c r="L925" s="59"/>
      <c r="M925" s="61"/>
      <c r="N925" s="59"/>
      <c r="O925" s="59"/>
    </row>
    <row r="926" ht="14.25" customHeight="1">
      <c r="A926" s="59"/>
      <c r="B926" s="60"/>
      <c r="C926" s="60"/>
      <c r="D926" s="59"/>
      <c r="E926" s="59"/>
      <c r="F926" s="60"/>
      <c r="G926" s="60"/>
      <c r="H926" s="60"/>
      <c r="I926" s="60"/>
      <c r="J926" s="60"/>
      <c r="K926" s="59"/>
      <c r="L926" s="59"/>
      <c r="M926" s="61"/>
      <c r="N926" s="59"/>
      <c r="O926" s="59"/>
    </row>
    <row r="927" ht="14.25" customHeight="1">
      <c r="A927" s="59"/>
      <c r="B927" s="60"/>
      <c r="C927" s="60"/>
      <c r="D927" s="59"/>
      <c r="E927" s="59"/>
      <c r="F927" s="60"/>
      <c r="G927" s="60"/>
      <c r="H927" s="60"/>
      <c r="I927" s="60"/>
      <c r="J927" s="60"/>
      <c r="K927" s="59"/>
      <c r="L927" s="59"/>
      <c r="M927" s="61"/>
      <c r="N927" s="59"/>
      <c r="O927" s="59"/>
    </row>
    <row r="928" ht="14.25" customHeight="1">
      <c r="A928" s="59"/>
      <c r="B928" s="60"/>
      <c r="C928" s="60"/>
      <c r="D928" s="59"/>
      <c r="E928" s="59"/>
      <c r="F928" s="60"/>
      <c r="G928" s="60"/>
      <c r="H928" s="60"/>
      <c r="I928" s="60"/>
      <c r="J928" s="60"/>
      <c r="K928" s="59"/>
      <c r="L928" s="59"/>
      <c r="M928" s="61"/>
      <c r="N928" s="59"/>
      <c r="O928" s="59"/>
    </row>
    <row r="929" ht="14.25" customHeight="1">
      <c r="A929" s="59"/>
      <c r="B929" s="60"/>
      <c r="C929" s="60"/>
      <c r="D929" s="59"/>
      <c r="E929" s="59"/>
      <c r="F929" s="60"/>
      <c r="G929" s="60"/>
      <c r="H929" s="60"/>
      <c r="I929" s="60"/>
      <c r="J929" s="60"/>
      <c r="K929" s="59"/>
      <c r="L929" s="59"/>
      <c r="M929" s="61"/>
      <c r="N929" s="59"/>
      <c r="O929" s="59"/>
    </row>
    <row r="930" ht="14.25" customHeight="1">
      <c r="A930" s="59"/>
      <c r="B930" s="60"/>
      <c r="C930" s="60"/>
      <c r="D930" s="59"/>
      <c r="E930" s="59"/>
      <c r="F930" s="60"/>
      <c r="G930" s="60"/>
      <c r="H930" s="60"/>
      <c r="I930" s="60"/>
      <c r="J930" s="60"/>
      <c r="K930" s="59"/>
      <c r="L930" s="59"/>
      <c r="M930" s="61"/>
      <c r="N930" s="59"/>
      <c r="O930" s="59"/>
    </row>
    <row r="931" ht="14.25" customHeight="1">
      <c r="A931" s="59"/>
      <c r="B931" s="60"/>
      <c r="C931" s="60"/>
      <c r="D931" s="59"/>
      <c r="E931" s="59"/>
      <c r="F931" s="60"/>
      <c r="G931" s="60"/>
      <c r="H931" s="60"/>
      <c r="I931" s="60"/>
      <c r="J931" s="60"/>
      <c r="K931" s="59"/>
      <c r="L931" s="59"/>
      <c r="M931" s="61"/>
      <c r="N931" s="59"/>
      <c r="O931" s="59"/>
    </row>
    <row r="932" ht="14.25" customHeight="1">
      <c r="A932" s="59"/>
      <c r="B932" s="60"/>
      <c r="C932" s="60"/>
      <c r="D932" s="59"/>
      <c r="E932" s="59"/>
      <c r="F932" s="60"/>
      <c r="G932" s="60"/>
      <c r="H932" s="60"/>
      <c r="I932" s="60"/>
      <c r="J932" s="60"/>
      <c r="K932" s="59"/>
      <c r="L932" s="59"/>
      <c r="M932" s="61"/>
      <c r="N932" s="59"/>
      <c r="O932" s="59"/>
    </row>
    <row r="933" ht="14.25" customHeight="1">
      <c r="A933" s="59"/>
      <c r="B933" s="60"/>
      <c r="C933" s="60"/>
      <c r="D933" s="59"/>
      <c r="E933" s="59"/>
      <c r="F933" s="60"/>
      <c r="G933" s="60"/>
      <c r="H933" s="60"/>
      <c r="I933" s="60"/>
      <c r="J933" s="60"/>
      <c r="K933" s="59"/>
      <c r="L933" s="59"/>
      <c r="M933" s="61"/>
      <c r="N933" s="59"/>
      <c r="O933" s="59"/>
    </row>
    <row r="934" ht="14.25" customHeight="1">
      <c r="A934" s="59"/>
      <c r="B934" s="60"/>
      <c r="C934" s="60"/>
      <c r="D934" s="59"/>
      <c r="E934" s="59"/>
      <c r="F934" s="60"/>
      <c r="G934" s="60"/>
      <c r="H934" s="60"/>
      <c r="I934" s="60"/>
      <c r="J934" s="60"/>
      <c r="K934" s="59"/>
      <c r="L934" s="59"/>
      <c r="M934" s="61"/>
      <c r="N934" s="59"/>
      <c r="O934" s="59"/>
    </row>
    <row r="935" ht="14.25" customHeight="1">
      <c r="A935" s="59"/>
      <c r="B935" s="60"/>
      <c r="C935" s="60"/>
      <c r="D935" s="59"/>
      <c r="E935" s="59"/>
      <c r="F935" s="60"/>
      <c r="G935" s="60"/>
      <c r="H935" s="60"/>
      <c r="I935" s="60"/>
      <c r="J935" s="60"/>
      <c r="K935" s="59"/>
      <c r="L935" s="59"/>
      <c r="M935" s="61"/>
      <c r="N935" s="59"/>
      <c r="O935" s="59"/>
    </row>
    <row r="936" ht="14.25" customHeight="1">
      <c r="A936" s="59"/>
      <c r="B936" s="60"/>
      <c r="C936" s="60"/>
      <c r="D936" s="59"/>
      <c r="E936" s="59"/>
      <c r="F936" s="60"/>
      <c r="G936" s="60"/>
      <c r="H936" s="60"/>
      <c r="I936" s="60"/>
      <c r="J936" s="60"/>
      <c r="K936" s="59"/>
      <c r="L936" s="59"/>
      <c r="M936" s="61"/>
      <c r="N936" s="59"/>
      <c r="O936" s="59"/>
    </row>
    <row r="937" ht="14.25" customHeight="1">
      <c r="A937" s="59"/>
      <c r="B937" s="60"/>
      <c r="C937" s="60"/>
      <c r="D937" s="59"/>
      <c r="E937" s="59"/>
      <c r="F937" s="60"/>
      <c r="G937" s="60"/>
      <c r="H937" s="60"/>
      <c r="I937" s="60"/>
      <c r="J937" s="60"/>
      <c r="K937" s="59"/>
      <c r="L937" s="59"/>
      <c r="M937" s="61"/>
      <c r="N937" s="59"/>
      <c r="O937" s="59"/>
    </row>
    <row r="938" ht="14.25" customHeight="1">
      <c r="A938" s="59"/>
      <c r="B938" s="60"/>
      <c r="C938" s="60"/>
      <c r="D938" s="59"/>
      <c r="E938" s="59"/>
      <c r="F938" s="60"/>
      <c r="G938" s="60"/>
      <c r="H938" s="60"/>
      <c r="I938" s="60"/>
      <c r="J938" s="60"/>
      <c r="K938" s="59"/>
      <c r="L938" s="59"/>
      <c r="M938" s="61"/>
      <c r="N938" s="59"/>
      <c r="O938" s="59"/>
    </row>
    <row r="939" ht="14.25" customHeight="1">
      <c r="A939" s="59"/>
      <c r="B939" s="60"/>
      <c r="C939" s="60"/>
      <c r="D939" s="59"/>
      <c r="E939" s="59"/>
      <c r="F939" s="60"/>
      <c r="G939" s="60"/>
      <c r="H939" s="60"/>
      <c r="I939" s="60"/>
      <c r="J939" s="60"/>
      <c r="K939" s="59"/>
      <c r="L939" s="59"/>
      <c r="M939" s="61"/>
      <c r="N939" s="59"/>
      <c r="O939" s="59"/>
    </row>
    <row r="940" ht="14.25" customHeight="1">
      <c r="A940" s="59"/>
      <c r="B940" s="60"/>
      <c r="C940" s="60"/>
      <c r="D940" s="59"/>
      <c r="E940" s="59"/>
      <c r="F940" s="60"/>
      <c r="G940" s="60"/>
      <c r="H940" s="60"/>
      <c r="I940" s="60"/>
      <c r="J940" s="60"/>
      <c r="K940" s="59"/>
      <c r="L940" s="59"/>
      <c r="M940" s="61"/>
      <c r="N940" s="59"/>
      <c r="O940" s="59"/>
    </row>
    <row r="941" ht="14.25" customHeight="1">
      <c r="A941" s="59"/>
      <c r="B941" s="60"/>
      <c r="C941" s="60"/>
      <c r="D941" s="59"/>
      <c r="E941" s="59"/>
      <c r="F941" s="60"/>
      <c r="G941" s="60"/>
      <c r="H941" s="60"/>
      <c r="I941" s="60"/>
      <c r="J941" s="60"/>
      <c r="K941" s="59"/>
      <c r="L941" s="59"/>
      <c r="M941" s="61"/>
      <c r="N941" s="59"/>
      <c r="O941" s="59"/>
    </row>
    <row r="942" ht="14.25" customHeight="1">
      <c r="A942" s="59"/>
      <c r="B942" s="60"/>
      <c r="C942" s="60"/>
      <c r="D942" s="59"/>
      <c r="E942" s="59"/>
      <c r="F942" s="60"/>
      <c r="G942" s="60"/>
      <c r="H942" s="60"/>
      <c r="I942" s="60"/>
      <c r="J942" s="60"/>
      <c r="K942" s="59"/>
      <c r="L942" s="59"/>
      <c r="M942" s="61"/>
      <c r="N942" s="59"/>
      <c r="O942" s="59"/>
    </row>
    <row r="943" ht="14.25" customHeight="1">
      <c r="A943" s="59"/>
      <c r="B943" s="60"/>
      <c r="C943" s="60"/>
      <c r="D943" s="59"/>
      <c r="E943" s="59"/>
      <c r="F943" s="60"/>
      <c r="G943" s="60"/>
      <c r="H943" s="60"/>
      <c r="I943" s="60"/>
      <c r="J943" s="60"/>
      <c r="K943" s="59"/>
      <c r="L943" s="59"/>
      <c r="M943" s="61"/>
      <c r="N943" s="59"/>
      <c r="O943" s="59"/>
    </row>
    <row r="944" ht="14.25" customHeight="1">
      <c r="A944" s="59"/>
      <c r="B944" s="60"/>
      <c r="C944" s="60"/>
      <c r="D944" s="59"/>
      <c r="E944" s="59"/>
      <c r="F944" s="60"/>
      <c r="G944" s="60"/>
      <c r="H944" s="60"/>
      <c r="I944" s="60"/>
      <c r="J944" s="60"/>
      <c r="K944" s="59"/>
      <c r="L944" s="59"/>
      <c r="M944" s="61"/>
      <c r="N944" s="59"/>
      <c r="O944" s="59"/>
    </row>
    <row r="945" ht="14.25" customHeight="1">
      <c r="A945" s="59"/>
      <c r="B945" s="60"/>
      <c r="C945" s="60"/>
      <c r="D945" s="59"/>
      <c r="E945" s="59"/>
      <c r="F945" s="60"/>
      <c r="G945" s="60"/>
      <c r="H945" s="60"/>
      <c r="I945" s="60"/>
      <c r="J945" s="60"/>
      <c r="K945" s="59"/>
      <c r="L945" s="59"/>
      <c r="M945" s="61"/>
      <c r="N945" s="59"/>
      <c r="O945" s="59"/>
    </row>
    <row r="946" ht="14.25" customHeight="1">
      <c r="A946" s="59"/>
      <c r="B946" s="60"/>
      <c r="C946" s="60"/>
      <c r="D946" s="59"/>
      <c r="E946" s="59"/>
      <c r="F946" s="60"/>
      <c r="G946" s="60"/>
      <c r="H946" s="60"/>
      <c r="I946" s="60"/>
      <c r="J946" s="60"/>
      <c r="K946" s="59"/>
      <c r="L946" s="59"/>
      <c r="M946" s="61"/>
      <c r="N946" s="59"/>
      <c r="O946" s="59"/>
    </row>
    <row r="947" ht="14.25" customHeight="1">
      <c r="A947" s="59"/>
      <c r="B947" s="60"/>
      <c r="C947" s="60"/>
      <c r="D947" s="59"/>
      <c r="E947" s="59"/>
      <c r="F947" s="60"/>
      <c r="G947" s="60"/>
      <c r="H947" s="60"/>
      <c r="I947" s="60"/>
      <c r="J947" s="60"/>
      <c r="K947" s="59"/>
      <c r="L947" s="59"/>
      <c r="M947" s="61"/>
      <c r="N947" s="59"/>
      <c r="O947" s="59"/>
    </row>
    <row r="948" ht="14.25" customHeight="1">
      <c r="A948" s="59"/>
      <c r="B948" s="60"/>
      <c r="C948" s="60"/>
      <c r="D948" s="59"/>
      <c r="E948" s="59"/>
      <c r="F948" s="60"/>
      <c r="G948" s="60"/>
      <c r="H948" s="60"/>
      <c r="I948" s="60"/>
      <c r="J948" s="60"/>
      <c r="K948" s="59"/>
      <c r="L948" s="59"/>
      <c r="M948" s="61"/>
      <c r="N948" s="59"/>
      <c r="O948" s="59"/>
    </row>
    <row r="949" ht="14.25" customHeight="1">
      <c r="A949" s="59"/>
      <c r="B949" s="60"/>
      <c r="C949" s="60"/>
      <c r="D949" s="59"/>
      <c r="E949" s="59"/>
      <c r="F949" s="60"/>
      <c r="G949" s="60"/>
      <c r="H949" s="60"/>
      <c r="I949" s="60"/>
      <c r="J949" s="60"/>
      <c r="K949" s="59"/>
      <c r="L949" s="59"/>
      <c r="M949" s="61"/>
      <c r="N949" s="59"/>
      <c r="O949" s="59"/>
    </row>
    <row r="950" ht="14.25" customHeight="1">
      <c r="A950" s="59"/>
      <c r="B950" s="60"/>
      <c r="C950" s="60"/>
      <c r="D950" s="59"/>
      <c r="E950" s="59"/>
      <c r="F950" s="60"/>
      <c r="G950" s="60"/>
      <c r="H950" s="60"/>
      <c r="I950" s="60"/>
      <c r="J950" s="60"/>
      <c r="K950" s="59"/>
      <c r="L950" s="59"/>
      <c r="M950" s="61"/>
      <c r="N950" s="59"/>
      <c r="O950" s="59"/>
    </row>
    <row r="951" ht="14.25" customHeight="1">
      <c r="A951" s="59"/>
      <c r="B951" s="60"/>
      <c r="C951" s="60"/>
      <c r="D951" s="59"/>
      <c r="E951" s="59"/>
      <c r="F951" s="60"/>
      <c r="G951" s="60"/>
      <c r="H951" s="60"/>
      <c r="I951" s="60"/>
      <c r="J951" s="60"/>
      <c r="K951" s="59"/>
      <c r="L951" s="59"/>
      <c r="M951" s="61"/>
      <c r="N951" s="59"/>
      <c r="O951" s="59"/>
    </row>
    <row r="952" ht="14.25" customHeight="1">
      <c r="A952" s="59"/>
      <c r="B952" s="60"/>
      <c r="C952" s="60"/>
      <c r="D952" s="59"/>
      <c r="E952" s="59"/>
      <c r="F952" s="60"/>
      <c r="G952" s="60"/>
      <c r="H952" s="60"/>
      <c r="I952" s="60"/>
      <c r="J952" s="60"/>
      <c r="K952" s="59"/>
      <c r="L952" s="59"/>
      <c r="M952" s="61"/>
      <c r="N952" s="59"/>
      <c r="O952" s="59"/>
    </row>
    <row r="953" ht="14.25" customHeight="1">
      <c r="A953" s="59"/>
      <c r="B953" s="60"/>
      <c r="C953" s="60"/>
      <c r="D953" s="59"/>
      <c r="E953" s="59"/>
      <c r="F953" s="60"/>
      <c r="G953" s="60"/>
      <c r="H953" s="60"/>
      <c r="I953" s="60"/>
      <c r="J953" s="60"/>
      <c r="K953" s="59"/>
      <c r="L953" s="59"/>
      <c r="M953" s="61"/>
      <c r="N953" s="59"/>
      <c r="O953" s="59"/>
    </row>
    <row r="954" ht="14.25" customHeight="1">
      <c r="A954" s="59"/>
      <c r="B954" s="60"/>
      <c r="C954" s="60"/>
      <c r="D954" s="59"/>
      <c r="E954" s="59"/>
      <c r="F954" s="60"/>
      <c r="G954" s="60"/>
      <c r="H954" s="60"/>
      <c r="I954" s="60"/>
      <c r="J954" s="60"/>
      <c r="K954" s="59"/>
      <c r="L954" s="59"/>
      <c r="M954" s="61"/>
      <c r="N954" s="59"/>
      <c r="O954" s="59"/>
    </row>
    <row r="955" ht="14.25" customHeight="1">
      <c r="A955" s="59"/>
      <c r="B955" s="60"/>
      <c r="C955" s="60"/>
      <c r="D955" s="59"/>
      <c r="E955" s="59"/>
      <c r="F955" s="60"/>
      <c r="G955" s="60"/>
      <c r="H955" s="60"/>
      <c r="I955" s="60"/>
      <c r="J955" s="60"/>
      <c r="K955" s="59"/>
      <c r="L955" s="59"/>
      <c r="M955" s="61"/>
      <c r="N955" s="59"/>
      <c r="O955" s="59"/>
    </row>
    <row r="956" ht="14.25" customHeight="1">
      <c r="A956" s="59"/>
      <c r="B956" s="60"/>
      <c r="C956" s="60"/>
      <c r="D956" s="59"/>
      <c r="E956" s="59"/>
      <c r="F956" s="60"/>
      <c r="G956" s="60"/>
      <c r="H956" s="60"/>
      <c r="I956" s="60"/>
      <c r="J956" s="60"/>
      <c r="K956" s="59"/>
      <c r="L956" s="59"/>
      <c r="M956" s="61"/>
      <c r="N956" s="59"/>
      <c r="O956" s="59"/>
    </row>
    <row r="957" ht="14.25" customHeight="1">
      <c r="A957" s="59"/>
      <c r="B957" s="60"/>
      <c r="C957" s="60"/>
      <c r="D957" s="59"/>
      <c r="E957" s="59"/>
      <c r="F957" s="60"/>
      <c r="G957" s="60"/>
      <c r="H957" s="60"/>
      <c r="I957" s="60"/>
      <c r="J957" s="60"/>
      <c r="K957" s="59"/>
      <c r="L957" s="59"/>
      <c r="M957" s="61"/>
      <c r="N957" s="59"/>
      <c r="O957" s="59"/>
    </row>
    <row r="958" ht="14.25" customHeight="1">
      <c r="A958" s="59"/>
      <c r="B958" s="60"/>
      <c r="C958" s="60"/>
      <c r="D958" s="59"/>
      <c r="E958" s="59"/>
      <c r="F958" s="60"/>
      <c r="G958" s="60"/>
      <c r="H958" s="60"/>
      <c r="I958" s="60"/>
      <c r="J958" s="60"/>
      <c r="K958" s="59"/>
      <c r="L958" s="59"/>
      <c r="M958" s="61"/>
      <c r="N958" s="59"/>
      <c r="O958" s="59"/>
    </row>
    <row r="959" ht="14.25" customHeight="1">
      <c r="A959" s="59"/>
      <c r="B959" s="60"/>
      <c r="C959" s="60"/>
      <c r="D959" s="59"/>
      <c r="E959" s="59"/>
      <c r="F959" s="60"/>
      <c r="G959" s="60"/>
      <c r="H959" s="60"/>
      <c r="I959" s="60"/>
      <c r="J959" s="60"/>
      <c r="K959" s="59"/>
      <c r="L959" s="59"/>
      <c r="M959" s="61"/>
      <c r="N959" s="59"/>
      <c r="O959" s="59"/>
    </row>
    <row r="960" ht="14.25" customHeight="1">
      <c r="A960" s="59"/>
      <c r="B960" s="60"/>
      <c r="C960" s="60"/>
      <c r="D960" s="59"/>
      <c r="E960" s="59"/>
      <c r="F960" s="60"/>
      <c r="G960" s="60"/>
      <c r="H960" s="60"/>
      <c r="I960" s="60"/>
      <c r="J960" s="60"/>
      <c r="K960" s="59"/>
      <c r="L960" s="59"/>
      <c r="M960" s="61"/>
      <c r="N960" s="59"/>
      <c r="O960" s="59"/>
    </row>
    <row r="961" ht="14.25" customHeight="1">
      <c r="A961" s="59"/>
      <c r="B961" s="60"/>
      <c r="C961" s="60"/>
      <c r="D961" s="59"/>
      <c r="E961" s="59"/>
      <c r="F961" s="60"/>
      <c r="G961" s="60"/>
      <c r="H961" s="60"/>
      <c r="I961" s="60"/>
      <c r="J961" s="60"/>
      <c r="K961" s="59"/>
      <c r="L961" s="59"/>
      <c r="M961" s="61"/>
      <c r="N961" s="59"/>
      <c r="O961" s="59"/>
    </row>
    <row r="962" ht="14.25" customHeight="1">
      <c r="A962" s="59"/>
      <c r="B962" s="60"/>
      <c r="C962" s="60"/>
      <c r="D962" s="59"/>
      <c r="E962" s="59"/>
      <c r="F962" s="60"/>
      <c r="G962" s="60"/>
      <c r="H962" s="60"/>
      <c r="I962" s="60"/>
      <c r="J962" s="60"/>
      <c r="K962" s="59"/>
      <c r="L962" s="59"/>
      <c r="M962" s="61"/>
      <c r="N962" s="59"/>
      <c r="O962" s="59"/>
    </row>
    <row r="963" ht="14.25" customHeight="1">
      <c r="A963" s="59"/>
      <c r="B963" s="60"/>
      <c r="C963" s="60"/>
      <c r="D963" s="59"/>
      <c r="E963" s="59"/>
      <c r="F963" s="60"/>
      <c r="G963" s="60"/>
      <c r="H963" s="60"/>
      <c r="I963" s="60"/>
      <c r="J963" s="60"/>
      <c r="K963" s="59"/>
      <c r="L963" s="59"/>
      <c r="M963" s="61"/>
      <c r="N963" s="59"/>
      <c r="O963" s="59"/>
    </row>
    <row r="964" ht="14.25" customHeight="1">
      <c r="A964" s="59"/>
      <c r="B964" s="60"/>
      <c r="C964" s="60"/>
      <c r="D964" s="59"/>
      <c r="E964" s="59"/>
      <c r="F964" s="60"/>
      <c r="G964" s="60"/>
      <c r="H964" s="60"/>
      <c r="I964" s="60"/>
      <c r="J964" s="60"/>
      <c r="K964" s="59"/>
      <c r="L964" s="59"/>
      <c r="M964" s="61"/>
      <c r="N964" s="59"/>
      <c r="O964" s="59"/>
    </row>
    <row r="965" ht="14.25" customHeight="1">
      <c r="A965" s="59"/>
      <c r="B965" s="60"/>
      <c r="C965" s="60"/>
      <c r="D965" s="59"/>
      <c r="E965" s="59"/>
      <c r="F965" s="60"/>
      <c r="G965" s="60"/>
      <c r="H965" s="60"/>
      <c r="I965" s="60"/>
      <c r="J965" s="60"/>
      <c r="K965" s="59"/>
      <c r="L965" s="59"/>
      <c r="M965" s="61"/>
      <c r="N965" s="59"/>
      <c r="O965" s="59"/>
    </row>
    <row r="966" ht="14.25" customHeight="1">
      <c r="A966" s="59"/>
      <c r="B966" s="60"/>
      <c r="C966" s="60"/>
      <c r="D966" s="59"/>
      <c r="E966" s="59"/>
      <c r="F966" s="60"/>
      <c r="G966" s="60"/>
      <c r="H966" s="60"/>
      <c r="I966" s="60"/>
      <c r="J966" s="60"/>
      <c r="K966" s="59"/>
      <c r="L966" s="59"/>
      <c r="M966" s="61"/>
      <c r="N966" s="59"/>
      <c r="O966" s="59"/>
    </row>
    <row r="967" ht="14.25" customHeight="1">
      <c r="A967" s="59"/>
      <c r="B967" s="60"/>
      <c r="C967" s="60"/>
      <c r="D967" s="59"/>
      <c r="E967" s="59"/>
      <c r="F967" s="60"/>
      <c r="G967" s="60"/>
      <c r="H967" s="60"/>
      <c r="I967" s="60"/>
      <c r="J967" s="60"/>
      <c r="K967" s="59"/>
      <c r="L967" s="59"/>
      <c r="M967" s="61"/>
      <c r="N967" s="59"/>
      <c r="O967" s="59"/>
    </row>
    <row r="968" ht="14.25" customHeight="1">
      <c r="A968" s="59"/>
      <c r="B968" s="60"/>
      <c r="C968" s="60"/>
      <c r="D968" s="59"/>
      <c r="E968" s="59"/>
      <c r="F968" s="60"/>
      <c r="G968" s="60"/>
      <c r="H968" s="60"/>
      <c r="I968" s="60"/>
      <c r="J968" s="60"/>
      <c r="K968" s="59"/>
      <c r="L968" s="59"/>
      <c r="M968" s="61"/>
      <c r="N968" s="59"/>
      <c r="O968" s="59"/>
    </row>
    <row r="969" ht="14.25" customHeight="1">
      <c r="A969" s="59"/>
      <c r="B969" s="60"/>
      <c r="C969" s="60"/>
      <c r="D969" s="59"/>
      <c r="E969" s="59"/>
      <c r="F969" s="60"/>
      <c r="G969" s="60"/>
      <c r="H969" s="60"/>
      <c r="I969" s="60"/>
      <c r="J969" s="60"/>
      <c r="K969" s="59"/>
      <c r="L969" s="59"/>
      <c r="M969" s="61"/>
      <c r="N969" s="59"/>
      <c r="O969" s="59"/>
    </row>
    <row r="970" ht="14.25" customHeight="1">
      <c r="A970" s="59"/>
      <c r="B970" s="60"/>
      <c r="C970" s="60"/>
      <c r="D970" s="59"/>
      <c r="E970" s="59"/>
      <c r="F970" s="60"/>
      <c r="G970" s="60"/>
      <c r="H970" s="60"/>
      <c r="I970" s="60"/>
      <c r="J970" s="60"/>
      <c r="K970" s="59"/>
      <c r="L970" s="59"/>
      <c r="M970" s="61"/>
      <c r="N970" s="59"/>
      <c r="O970" s="59"/>
    </row>
    <row r="971" ht="14.25" customHeight="1">
      <c r="A971" s="59"/>
      <c r="B971" s="60"/>
      <c r="C971" s="60"/>
      <c r="D971" s="59"/>
      <c r="E971" s="59"/>
      <c r="F971" s="60"/>
      <c r="G971" s="60"/>
      <c r="H971" s="60"/>
      <c r="I971" s="60"/>
      <c r="J971" s="60"/>
      <c r="K971" s="59"/>
      <c r="L971" s="59"/>
      <c r="M971" s="61"/>
      <c r="N971" s="59"/>
      <c r="O971" s="59"/>
    </row>
    <row r="972" ht="14.25" customHeight="1">
      <c r="A972" s="59"/>
      <c r="B972" s="60"/>
      <c r="C972" s="60"/>
      <c r="D972" s="59"/>
      <c r="E972" s="59"/>
      <c r="F972" s="60"/>
      <c r="G972" s="60"/>
      <c r="H972" s="60"/>
      <c r="I972" s="60"/>
      <c r="J972" s="60"/>
      <c r="K972" s="59"/>
      <c r="L972" s="59"/>
      <c r="M972" s="61"/>
      <c r="N972" s="59"/>
      <c r="O972" s="59"/>
    </row>
    <row r="973" ht="14.25" customHeight="1">
      <c r="A973" s="59"/>
      <c r="B973" s="60"/>
      <c r="C973" s="60"/>
      <c r="D973" s="59"/>
      <c r="E973" s="59"/>
      <c r="F973" s="60"/>
      <c r="G973" s="60"/>
      <c r="H973" s="60"/>
      <c r="I973" s="60"/>
      <c r="J973" s="60"/>
      <c r="K973" s="59"/>
      <c r="L973" s="59"/>
      <c r="M973" s="61"/>
      <c r="N973" s="59"/>
      <c r="O973" s="59"/>
    </row>
    <row r="974" ht="14.25" customHeight="1">
      <c r="A974" s="59"/>
      <c r="B974" s="60"/>
      <c r="C974" s="60"/>
      <c r="D974" s="59"/>
      <c r="E974" s="59"/>
      <c r="F974" s="60"/>
      <c r="G974" s="60"/>
      <c r="H974" s="60"/>
      <c r="I974" s="60"/>
      <c r="J974" s="60"/>
      <c r="K974" s="59"/>
      <c r="L974" s="59"/>
      <c r="M974" s="61"/>
      <c r="N974" s="59"/>
      <c r="O974" s="59"/>
    </row>
    <row r="975" ht="14.25" customHeight="1">
      <c r="A975" s="59"/>
      <c r="B975" s="60"/>
      <c r="C975" s="60"/>
      <c r="D975" s="59"/>
      <c r="E975" s="59"/>
      <c r="F975" s="60"/>
      <c r="G975" s="60"/>
      <c r="H975" s="60"/>
      <c r="I975" s="60"/>
      <c r="J975" s="60"/>
      <c r="K975" s="59"/>
      <c r="L975" s="59"/>
      <c r="M975" s="61"/>
      <c r="N975" s="59"/>
      <c r="O975" s="59"/>
    </row>
    <row r="976" ht="14.25" customHeight="1">
      <c r="A976" s="59"/>
      <c r="B976" s="60"/>
      <c r="C976" s="60"/>
      <c r="D976" s="59"/>
      <c r="E976" s="59"/>
      <c r="F976" s="60"/>
      <c r="G976" s="60"/>
      <c r="H976" s="60"/>
      <c r="I976" s="60"/>
      <c r="J976" s="60"/>
      <c r="K976" s="59"/>
      <c r="L976" s="59"/>
      <c r="M976" s="61"/>
      <c r="N976" s="59"/>
      <c r="O976" s="59"/>
    </row>
    <row r="977" ht="14.25" customHeight="1">
      <c r="A977" s="59"/>
      <c r="B977" s="60"/>
      <c r="C977" s="60"/>
      <c r="D977" s="59"/>
      <c r="E977" s="59"/>
      <c r="F977" s="60"/>
      <c r="G977" s="60"/>
      <c r="H977" s="60"/>
      <c r="I977" s="60"/>
      <c r="J977" s="60"/>
      <c r="K977" s="59"/>
      <c r="L977" s="59"/>
      <c r="M977" s="61"/>
      <c r="N977" s="59"/>
      <c r="O977" s="59"/>
    </row>
    <row r="978" ht="14.25" customHeight="1">
      <c r="A978" s="59"/>
      <c r="B978" s="60"/>
      <c r="C978" s="60"/>
      <c r="D978" s="59"/>
      <c r="E978" s="59"/>
      <c r="F978" s="60"/>
      <c r="G978" s="60"/>
      <c r="H978" s="60"/>
      <c r="I978" s="60"/>
      <c r="J978" s="60"/>
      <c r="K978" s="59"/>
      <c r="L978" s="59"/>
      <c r="M978" s="61"/>
      <c r="N978" s="59"/>
      <c r="O978" s="59"/>
    </row>
    <row r="979" ht="14.25" customHeight="1">
      <c r="A979" s="59"/>
      <c r="B979" s="60"/>
      <c r="C979" s="60"/>
      <c r="D979" s="59"/>
      <c r="E979" s="59"/>
      <c r="F979" s="60"/>
      <c r="G979" s="60"/>
      <c r="H979" s="60"/>
      <c r="I979" s="60"/>
      <c r="J979" s="60"/>
      <c r="K979" s="59"/>
      <c r="L979" s="59"/>
      <c r="M979" s="61"/>
      <c r="N979" s="59"/>
      <c r="O979" s="59"/>
    </row>
    <row r="980" ht="14.25" customHeight="1">
      <c r="A980" s="59"/>
      <c r="B980" s="60"/>
      <c r="C980" s="60"/>
      <c r="D980" s="59"/>
      <c r="E980" s="59"/>
      <c r="F980" s="60"/>
      <c r="G980" s="60"/>
      <c r="H980" s="60"/>
      <c r="I980" s="60"/>
      <c r="J980" s="60"/>
      <c r="K980" s="59"/>
      <c r="L980" s="59"/>
      <c r="M980" s="61"/>
      <c r="N980" s="59"/>
      <c r="O980" s="59"/>
    </row>
    <row r="981" ht="14.25" customHeight="1">
      <c r="A981" s="59"/>
      <c r="B981" s="60"/>
      <c r="C981" s="60"/>
      <c r="D981" s="59"/>
      <c r="E981" s="59"/>
      <c r="F981" s="60"/>
      <c r="G981" s="60"/>
      <c r="H981" s="60"/>
      <c r="I981" s="60"/>
      <c r="J981" s="60"/>
      <c r="K981" s="59"/>
      <c r="L981" s="59"/>
      <c r="M981" s="61"/>
      <c r="N981" s="59"/>
      <c r="O981" s="59"/>
    </row>
    <row r="982" ht="14.25" customHeight="1">
      <c r="A982" s="59"/>
      <c r="B982" s="60"/>
      <c r="C982" s="60"/>
      <c r="D982" s="59"/>
      <c r="E982" s="59"/>
      <c r="F982" s="60"/>
      <c r="G982" s="60"/>
      <c r="H982" s="60"/>
      <c r="I982" s="60"/>
      <c r="J982" s="60"/>
      <c r="K982" s="59"/>
      <c r="L982" s="59"/>
      <c r="M982" s="61"/>
      <c r="N982" s="59"/>
      <c r="O982" s="59"/>
    </row>
    <row r="983" ht="14.25" customHeight="1">
      <c r="A983" s="59"/>
      <c r="B983" s="60"/>
      <c r="C983" s="60"/>
      <c r="D983" s="59"/>
      <c r="E983" s="59"/>
      <c r="F983" s="60"/>
      <c r="G983" s="60"/>
      <c r="H983" s="60"/>
      <c r="I983" s="60"/>
      <c r="J983" s="60"/>
      <c r="K983" s="59"/>
      <c r="L983" s="59"/>
      <c r="M983" s="61"/>
      <c r="N983" s="59"/>
      <c r="O983" s="59"/>
    </row>
    <row r="984" ht="14.25" customHeight="1">
      <c r="A984" s="59"/>
      <c r="B984" s="60"/>
      <c r="C984" s="60"/>
      <c r="D984" s="59"/>
      <c r="E984" s="59"/>
      <c r="F984" s="60"/>
      <c r="G984" s="60"/>
      <c r="H984" s="60"/>
      <c r="I984" s="60"/>
      <c r="J984" s="60"/>
      <c r="K984" s="59"/>
      <c r="L984" s="59"/>
      <c r="M984" s="61"/>
      <c r="N984" s="59"/>
      <c r="O984" s="59"/>
    </row>
    <row r="985" ht="14.25" customHeight="1">
      <c r="A985" s="59"/>
      <c r="B985" s="60"/>
      <c r="C985" s="60"/>
      <c r="D985" s="59"/>
      <c r="E985" s="59"/>
      <c r="F985" s="60"/>
      <c r="G985" s="60"/>
      <c r="H985" s="60"/>
      <c r="I985" s="60"/>
      <c r="J985" s="60"/>
      <c r="K985" s="59"/>
      <c r="L985" s="59"/>
      <c r="M985" s="61"/>
      <c r="N985" s="59"/>
      <c r="O985" s="59"/>
    </row>
    <row r="986" ht="14.25" customHeight="1">
      <c r="A986" s="59"/>
      <c r="B986" s="60"/>
      <c r="C986" s="60"/>
      <c r="D986" s="59"/>
      <c r="E986" s="59"/>
      <c r="F986" s="60"/>
      <c r="G986" s="60"/>
      <c r="H986" s="60"/>
      <c r="I986" s="60"/>
      <c r="J986" s="60"/>
      <c r="K986" s="59"/>
      <c r="L986" s="59"/>
      <c r="M986" s="61"/>
      <c r="N986" s="59"/>
      <c r="O986" s="59"/>
    </row>
    <row r="987" ht="14.25" customHeight="1">
      <c r="A987" s="59"/>
      <c r="B987" s="60"/>
      <c r="C987" s="60"/>
      <c r="D987" s="59"/>
      <c r="E987" s="59"/>
      <c r="F987" s="60"/>
      <c r="G987" s="60"/>
      <c r="H987" s="60"/>
      <c r="I987" s="60"/>
      <c r="J987" s="60"/>
      <c r="K987" s="59"/>
      <c r="L987" s="59"/>
      <c r="M987" s="61"/>
      <c r="N987" s="59"/>
      <c r="O987" s="59"/>
    </row>
    <row r="988" ht="14.25" customHeight="1">
      <c r="A988" s="59"/>
      <c r="B988" s="60"/>
      <c r="C988" s="60"/>
      <c r="D988" s="59"/>
      <c r="E988" s="59"/>
      <c r="F988" s="60"/>
      <c r="G988" s="60"/>
      <c r="H988" s="60"/>
      <c r="I988" s="60"/>
      <c r="J988" s="60"/>
      <c r="K988" s="59"/>
      <c r="L988" s="59"/>
      <c r="M988" s="61"/>
      <c r="N988" s="59"/>
      <c r="O988" s="59"/>
    </row>
    <row r="989" ht="14.25" customHeight="1">
      <c r="A989" s="59"/>
      <c r="B989" s="60"/>
      <c r="C989" s="60"/>
      <c r="D989" s="59"/>
      <c r="E989" s="59"/>
      <c r="F989" s="60"/>
      <c r="G989" s="60"/>
      <c r="H989" s="60"/>
      <c r="I989" s="60"/>
      <c r="J989" s="60"/>
      <c r="K989" s="59"/>
      <c r="L989" s="59"/>
      <c r="M989" s="61"/>
      <c r="N989" s="59"/>
      <c r="O989" s="59"/>
    </row>
    <row r="990" ht="14.25" customHeight="1">
      <c r="A990" s="59"/>
      <c r="B990" s="60"/>
      <c r="C990" s="60"/>
      <c r="D990" s="59"/>
      <c r="E990" s="59"/>
      <c r="F990" s="60"/>
      <c r="G990" s="60"/>
      <c r="H990" s="60"/>
      <c r="I990" s="60"/>
      <c r="J990" s="60"/>
      <c r="K990" s="59"/>
      <c r="L990" s="59"/>
      <c r="M990" s="61"/>
      <c r="N990" s="59"/>
      <c r="O990" s="59"/>
    </row>
    <row r="991" ht="14.25" customHeight="1">
      <c r="A991" s="59"/>
      <c r="B991" s="60"/>
      <c r="C991" s="60"/>
      <c r="D991" s="59"/>
      <c r="E991" s="59"/>
      <c r="F991" s="60"/>
      <c r="G991" s="60"/>
      <c r="H991" s="60"/>
      <c r="I991" s="60"/>
      <c r="J991" s="60"/>
      <c r="K991" s="59"/>
      <c r="L991" s="59"/>
      <c r="M991" s="61"/>
      <c r="N991" s="59"/>
      <c r="O991" s="59"/>
    </row>
    <row r="992" ht="14.25" customHeight="1">
      <c r="A992" s="59"/>
      <c r="B992" s="60"/>
      <c r="C992" s="60"/>
      <c r="D992" s="59"/>
      <c r="E992" s="59"/>
      <c r="F992" s="60"/>
      <c r="G992" s="60"/>
      <c r="H992" s="60"/>
      <c r="I992" s="60"/>
      <c r="J992" s="60"/>
      <c r="K992" s="59"/>
      <c r="L992" s="59"/>
      <c r="M992" s="61"/>
      <c r="N992" s="59"/>
      <c r="O992" s="59"/>
    </row>
    <row r="993" ht="14.25" customHeight="1">
      <c r="A993" s="59"/>
      <c r="B993" s="60"/>
      <c r="C993" s="60"/>
      <c r="D993" s="59"/>
      <c r="E993" s="59"/>
      <c r="F993" s="60"/>
      <c r="G993" s="60"/>
      <c r="H993" s="60"/>
      <c r="I993" s="60"/>
      <c r="J993" s="60"/>
      <c r="K993" s="59"/>
      <c r="L993" s="59"/>
      <c r="M993" s="61"/>
      <c r="N993" s="59"/>
      <c r="O993" s="59"/>
    </row>
    <row r="994" ht="14.25" customHeight="1">
      <c r="A994" s="59"/>
      <c r="B994" s="60"/>
      <c r="C994" s="60"/>
      <c r="D994" s="59"/>
      <c r="E994" s="59"/>
      <c r="F994" s="60"/>
      <c r="G994" s="60"/>
      <c r="H994" s="60"/>
      <c r="I994" s="60"/>
      <c r="J994" s="60"/>
      <c r="K994" s="59"/>
      <c r="L994" s="59"/>
      <c r="M994" s="61"/>
      <c r="N994" s="59"/>
      <c r="O994" s="59"/>
    </row>
    <row r="995" ht="14.25" customHeight="1">
      <c r="A995" s="59"/>
      <c r="B995" s="60"/>
      <c r="C995" s="60"/>
      <c r="D995" s="59"/>
      <c r="E995" s="59"/>
      <c r="F995" s="60"/>
      <c r="G995" s="60"/>
      <c r="H995" s="60"/>
      <c r="I995" s="60"/>
      <c r="J995" s="60"/>
      <c r="K995" s="59"/>
      <c r="L995" s="59"/>
      <c r="M995" s="61"/>
      <c r="N995" s="59"/>
      <c r="O995" s="59"/>
    </row>
    <row r="996" ht="14.25" customHeight="1">
      <c r="A996" s="59"/>
      <c r="B996" s="60"/>
      <c r="C996" s="60"/>
      <c r="D996" s="59"/>
      <c r="E996" s="59"/>
      <c r="F996" s="60"/>
      <c r="G996" s="60"/>
      <c r="H996" s="60"/>
      <c r="I996" s="60"/>
      <c r="J996" s="60"/>
      <c r="K996" s="59"/>
      <c r="L996" s="59"/>
      <c r="M996" s="61"/>
      <c r="N996" s="59"/>
      <c r="O996" s="59"/>
    </row>
    <row r="997" ht="14.25" customHeight="1">
      <c r="A997" s="59"/>
      <c r="B997" s="60"/>
      <c r="C997" s="60"/>
      <c r="D997" s="59"/>
      <c r="E997" s="59"/>
      <c r="F997" s="60"/>
      <c r="G997" s="60"/>
      <c r="H997" s="60"/>
      <c r="I997" s="60"/>
      <c r="J997" s="60"/>
      <c r="K997" s="59"/>
      <c r="L997" s="59"/>
      <c r="M997" s="61"/>
      <c r="N997" s="59"/>
      <c r="O997" s="59"/>
    </row>
    <row r="998" ht="14.25" customHeight="1">
      <c r="A998" s="59"/>
      <c r="B998" s="60"/>
      <c r="C998" s="60"/>
      <c r="D998" s="59"/>
      <c r="E998" s="59"/>
      <c r="F998" s="60"/>
      <c r="G998" s="60"/>
      <c r="H998" s="60"/>
      <c r="I998" s="60"/>
      <c r="J998" s="60"/>
      <c r="K998" s="59"/>
      <c r="L998" s="59"/>
      <c r="M998" s="61"/>
      <c r="N998" s="59"/>
      <c r="O998" s="59"/>
    </row>
    <row r="999" ht="14.25" customHeight="1">
      <c r="A999" s="59"/>
      <c r="B999" s="60"/>
      <c r="C999" s="60"/>
      <c r="D999" s="59"/>
      <c r="E999" s="59"/>
      <c r="F999" s="60"/>
      <c r="G999" s="60"/>
      <c r="H999" s="60"/>
      <c r="I999" s="60"/>
      <c r="J999" s="60"/>
      <c r="K999" s="59"/>
      <c r="L999" s="59"/>
      <c r="M999" s="61"/>
      <c r="N999" s="59"/>
      <c r="O999" s="59"/>
    </row>
    <row r="1000" ht="14.25" customHeight="1">
      <c r="A1000" s="59"/>
      <c r="B1000" s="60"/>
      <c r="C1000" s="60"/>
      <c r="D1000" s="59"/>
      <c r="E1000" s="59"/>
      <c r="F1000" s="60"/>
      <c r="G1000" s="60"/>
      <c r="H1000" s="60"/>
      <c r="I1000" s="60"/>
      <c r="J1000" s="60"/>
      <c r="K1000" s="59"/>
      <c r="L1000" s="59"/>
      <c r="M1000" s="61"/>
      <c r="N1000" s="59"/>
      <c r="O1000" s="59"/>
    </row>
  </sheetData>
  <autoFilter ref="$A$2:$Z$360"/>
  <mergeCells count="1">
    <mergeCell ref="A1:O1"/>
  </mergeCells>
  <dataValidations>
    <dataValidation type="list" allowBlank="1" showInputMessage="1" showErrorMessage="1" prompt="قيمة غير صحيحة - يرجى اختيار: Critical / Major / Minor / Low" sqref="L4:L500">
      <formula1>"Critical,Major,Minor,Low"</formula1>
    </dataValidation>
    <dataValidation type="list" allowBlank="1" showInputMessage="1" showErrorMessage="1" prompt="قيمة غير صحيحة - يرجى اختيار قيمة من القائمة" sqref="K4:K500">
      <formula1>"Pass,Fail,Blocked,Not Executed,In Progress"</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CC"/>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14"/>
    <col customWidth="1" min="2" max="2" width="34.29"/>
    <col customWidth="1" min="3" max="3" width="22.0"/>
    <col customWidth="1" min="4" max="4" width="20.86"/>
    <col customWidth="1" min="5" max="5" width="36.71"/>
    <col customWidth="1" min="6" max="6" width="33.29"/>
    <col customWidth="1" min="7" max="7" width="11.86"/>
    <col customWidth="1" min="8" max="8" width="22.86"/>
    <col customWidth="1" min="9" max="9" width="12.43"/>
    <col customWidth="1" min="10" max="26" width="8.71"/>
  </cols>
  <sheetData>
    <row r="1" ht="21.0" customHeight="1">
      <c r="A1" s="2" t="s">
        <v>2396</v>
      </c>
      <c r="B1" s="3"/>
      <c r="C1" s="3"/>
      <c r="D1" s="3"/>
      <c r="E1" s="3"/>
      <c r="F1" s="3"/>
      <c r="G1" s="3"/>
      <c r="H1" s="3"/>
      <c r="I1" s="4"/>
    </row>
    <row r="2" ht="25.5" customHeight="1">
      <c r="A2" s="62" t="s">
        <v>2397</v>
      </c>
      <c r="B2" s="62" t="s">
        <v>2398</v>
      </c>
      <c r="C2" s="62" t="s">
        <v>2399</v>
      </c>
      <c r="D2" s="62" t="s">
        <v>2400</v>
      </c>
      <c r="E2" s="62" t="s">
        <v>2401</v>
      </c>
      <c r="F2" s="62" t="s">
        <v>2402</v>
      </c>
      <c r="G2" s="62" t="s">
        <v>2403</v>
      </c>
      <c r="H2" s="62" t="s">
        <v>2404</v>
      </c>
      <c r="I2" s="62" t="s">
        <v>2405</v>
      </c>
    </row>
    <row r="3" ht="36.0" customHeight="1">
      <c r="A3" s="63" t="s">
        <v>2406</v>
      </c>
      <c r="B3" s="64" t="s">
        <v>2407</v>
      </c>
      <c r="C3" s="64" t="s">
        <v>2408</v>
      </c>
      <c r="D3" s="64" t="s">
        <v>78</v>
      </c>
      <c r="E3" s="64" t="s">
        <v>2409</v>
      </c>
      <c r="F3" s="64" t="s">
        <v>2407</v>
      </c>
      <c r="G3" s="64">
        <v>2.0</v>
      </c>
      <c r="H3" s="64" t="s">
        <v>2410</v>
      </c>
      <c r="I3" s="65" t="str">
        <f t="shared" ref="I3:I27" si="1">IF(G3&gt;0,"✅ 100%","❌ 0%")</f>
        <v>✅ 100%</v>
      </c>
    </row>
    <row r="4" ht="155.25" customHeight="1">
      <c r="A4" s="66" t="s">
        <v>2411</v>
      </c>
      <c r="B4" s="67" t="s">
        <v>2412</v>
      </c>
      <c r="C4" s="67" t="s">
        <v>2413</v>
      </c>
      <c r="D4" s="67" t="s">
        <v>2414</v>
      </c>
      <c r="E4" s="67" t="s">
        <v>2415</v>
      </c>
      <c r="F4" s="67" t="s">
        <v>2416</v>
      </c>
      <c r="G4" s="67">
        <v>10.0</v>
      </c>
      <c r="H4" s="67" t="s">
        <v>2417</v>
      </c>
      <c r="I4" s="65" t="str">
        <f t="shared" si="1"/>
        <v>✅ 100%</v>
      </c>
    </row>
    <row r="5" ht="154.5" customHeight="1">
      <c r="A5" s="63" t="s">
        <v>2411</v>
      </c>
      <c r="B5" s="64" t="s">
        <v>2412</v>
      </c>
      <c r="C5" s="64" t="s">
        <v>2418</v>
      </c>
      <c r="D5" s="64" t="s">
        <v>2414</v>
      </c>
      <c r="E5" s="64" t="s">
        <v>2419</v>
      </c>
      <c r="F5" s="64" t="s">
        <v>2420</v>
      </c>
      <c r="G5" s="64">
        <v>10.0</v>
      </c>
      <c r="H5" s="64" t="s">
        <v>2421</v>
      </c>
      <c r="I5" s="65" t="str">
        <f t="shared" si="1"/>
        <v>✅ 100%</v>
      </c>
    </row>
    <row r="6" ht="149.25" customHeight="1">
      <c r="A6" s="66" t="s">
        <v>2422</v>
      </c>
      <c r="B6" s="67" t="s">
        <v>2423</v>
      </c>
      <c r="C6" s="67" t="s">
        <v>2424</v>
      </c>
      <c r="D6" s="67" t="s">
        <v>2414</v>
      </c>
      <c r="E6" s="67" t="s">
        <v>2425</v>
      </c>
      <c r="F6" s="67" t="s">
        <v>2426</v>
      </c>
      <c r="G6" s="67">
        <v>10.0</v>
      </c>
      <c r="H6" s="67" t="s">
        <v>2427</v>
      </c>
      <c r="I6" s="65" t="str">
        <f t="shared" si="1"/>
        <v>✅ 100%</v>
      </c>
    </row>
    <row r="7" ht="96.0" customHeight="1">
      <c r="A7" s="63" t="s">
        <v>2422</v>
      </c>
      <c r="B7" s="64" t="s">
        <v>2423</v>
      </c>
      <c r="C7" s="64" t="s">
        <v>2418</v>
      </c>
      <c r="D7" s="64" t="s">
        <v>2414</v>
      </c>
      <c r="E7" s="64" t="s">
        <v>2428</v>
      </c>
      <c r="F7" s="64" t="s">
        <v>2429</v>
      </c>
      <c r="G7" s="64">
        <v>6.0</v>
      </c>
      <c r="H7" s="64" t="s">
        <v>2430</v>
      </c>
      <c r="I7" s="65" t="str">
        <f t="shared" si="1"/>
        <v>✅ 100%</v>
      </c>
    </row>
    <row r="8" ht="39.75" customHeight="1">
      <c r="A8" s="66" t="s">
        <v>2431</v>
      </c>
      <c r="B8" s="67" t="s">
        <v>2432</v>
      </c>
      <c r="C8" s="67" t="s">
        <v>2413</v>
      </c>
      <c r="D8" s="67" t="s">
        <v>2414</v>
      </c>
      <c r="E8" s="67" t="s">
        <v>2433</v>
      </c>
      <c r="F8" s="67" t="s">
        <v>2434</v>
      </c>
      <c r="G8" s="67">
        <v>5.0</v>
      </c>
      <c r="H8" s="67" t="s">
        <v>2435</v>
      </c>
      <c r="I8" s="65" t="str">
        <f t="shared" si="1"/>
        <v>✅ 100%</v>
      </c>
    </row>
    <row r="9" ht="96.0" customHeight="1">
      <c r="A9" s="63" t="s">
        <v>2431</v>
      </c>
      <c r="B9" s="64" t="s">
        <v>2432</v>
      </c>
      <c r="C9" s="64" t="s">
        <v>2436</v>
      </c>
      <c r="D9" s="64" t="s">
        <v>2414</v>
      </c>
      <c r="E9" s="64" t="s">
        <v>2437</v>
      </c>
      <c r="F9" s="64" t="s">
        <v>2438</v>
      </c>
      <c r="G9" s="64">
        <v>6.0</v>
      </c>
      <c r="H9" s="64" t="s">
        <v>2439</v>
      </c>
      <c r="I9" s="65" t="str">
        <f t="shared" si="1"/>
        <v>✅ 100%</v>
      </c>
    </row>
    <row r="10" ht="21.0" customHeight="1">
      <c r="A10" s="66" t="s">
        <v>2431</v>
      </c>
      <c r="B10" s="67" t="s">
        <v>2432</v>
      </c>
      <c r="C10" s="67" t="s">
        <v>2418</v>
      </c>
      <c r="D10" s="67" t="s">
        <v>2414</v>
      </c>
      <c r="E10" s="67" t="s">
        <v>2440</v>
      </c>
      <c r="F10" s="67" t="s">
        <v>2441</v>
      </c>
      <c r="G10" s="67">
        <v>1.0</v>
      </c>
      <c r="H10" s="67" t="s">
        <v>147</v>
      </c>
      <c r="I10" s="65" t="str">
        <f t="shared" si="1"/>
        <v>✅ 100%</v>
      </c>
    </row>
    <row r="11" ht="93.75" customHeight="1">
      <c r="A11" s="63" t="s">
        <v>2442</v>
      </c>
      <c r="B11" s="64" t="s">
        <v>2443</v>
      </c>
      <c r="C11" s="64" t="s">
        <v>2424</v>
      </c>
      <c r="D11" s="64" t="s">
        <v>2444</v>
      </c>
      <c r="E11" s="64" t="s">
        <v>2445</v>
      </c>
      <c r="F11" s="64" t="s">
        <v>2446</v>
      </c>
      <c r="G11" s="64">
        <v>6.0</v>
      </c>
      <c r="H11" s="64" t="s">
        <v>2447</v>
      </c>
      <c r="I11" s="65" t="str">
        <f t="shared" si="1"/>
        <v>✅ 100%</v>
      </c>
    </row>
    <row r="12" ht="96.0" customHeight="1">
      <c r="A12" s="66" t="s">
        <v>2442</v>
      </c>
      <c r="B12" s="67" t="s">
        <v>2443</v>
      </c>
      <c r="C12" s="67" t="s">
        <v>2448</v>
      </c>
      <c r="D12" s="67" t="s">
        <v>2414</v>
      </c>
      <c r="E12" s="67" t="s">
        <v>2449</v>
      </c>
      <c r="F12" s="67" t="s">
        <v>2450</v>
      </c>
      <c r="G12" s="67">
        <v>6.0</v>
      </c>
      <c r="H12" s="67" t="s">
        <v>2451</v>
      </c>
      <c r="I12" s="65" t="str">
        <f t="shared" si="1"/>
        <v>✅ 100%</v>
      </c>
    </row>
    <row r="13" ht="65.25" customHeight="1">
      <c r="A13" s="63" t="s">
        <v>2452</v>
      </c>
      <c r="B13" s="64" t="s">
        <v>2453</v>
      </c>
      <c r="C13" s="64" t="s">
        <v>2454</v>
      </c>
      <c r="D13" s="64" t="s">
        <v>78</v>
      </c>
      <c r="E13" s="64" t="s">
        <v>2455</v>
      </c>
      <c r="F13" s="64" t="s">
        <v>2456</v>
      </c>
      <c r="G13" s="64">
        <v>4.0</v>
      </c>
      <c r="H13" s="64" t="s">
        <v>2457</v>
      </c>
      <c r="I13" s="65" t="str">
        <f t="shared" si="1"/>
        <v>✅ 100%</v>
      </c>
    </row>
    <row r="14" ht="49.5" customHeight="1">
      <c r="A14" s="66" t="s">
        <v>2458</v>
      </c>
      <c r="B14" s="67" t="s">
        <v>2459</v>
      </c>
      <c r="C14" s="67" t="s">
        <v>2408</v>
      </c>
      <c r="D14" s="67" t="s">
        <v>78</v>
      </c>
      <c r="E14" s="67" t="s">
        <v>2460</v>
      </c>
      <c r="F14" s="67" t="s">
        <v>2461</v>
      </c>
      <c r="G14" s="67">
        <v>2.0</v>
      </c>
      <c r="H14" s="67" t="s">
        <v>2462</v>
      </c>
      <c r="I14" s="65" t="str">
        <f t="shared" si="1"/>
        <v>✅ 100%</v>
      </c>
    </row>
    <row r="15" ht="24.0" customHeight="1">
      <c r="A15" s="63" t="s">
        <v>2463</v>
      </c>
      <c r="B15" s="64" t="s">
        <v>2464</v>
      </c>
      <c r="C15" s="64" t="s">
        <v>2465</v>
      </c>
      <c r="D15" s="64" t="s">
        <v>656</v>
      </c>
      <c r="E15" s="64" t="s">
        <v>2466</v>
      </c>
      <c r="F15" s="64" t="s">
        <v>2464</v>
      </c>
      <c r="G15" s="64">
        <v>1.0</v>
      </c>
      <c r="H15" s="64" t="s">
        <v>653</v>
      </c>
      <c r="I15" s="65" t="str">
        <f t="shared" si="1"/>
        <v>✅ 100%</v>
      </c>
    </row>
    <row r="16" ht="41.25" customHeight="1">
      <c r="A16" s="66" t="s">
        <v>2467</v>
      </c>
      <c r="B16" s="67" t="s">
        <v>2468</v>
      </c>
      <c r="C16" s="67" t="s">
        <v>2469</v>
      </c>
      <c r="D16" s="67" t="s">
        <v>90</v>
      </c>
      <c r="E16" s="67" t="s">
        <v>2470</v>
      </c>
      <c r="F16" s="67" t="s">
        <v>2471</v>
      </c>
      <c r="G16" s="67">
        <v>2.0</v>
      </c>
      <c r="H16" s="67" t="s">
        <v>2472</v>
      </c>
      <c r="I16" s="65" t="str">
        <f t="shared" si="1"/>
        <v>✅ 100%</v>
      </c>
    </row>
    <row r="17" ht="87.0" customHeight="1">
      <c r="A17" s="63" t="s">
        <v>2473</v>
      </c>
      <c r="B17" s="64" t="s">
        <v>2474</v>
      </c>
      <c r="C17" s="64" t="s">
        <v>2475</v>
      </c>
      <c r="D17" s="64" t="s">
        <v>801</v>
      </c>
      <c r="E17" s="64" t="s">
        <v>2476</v>
      </c>
      <c r="F17" s="64" t="s">
        <v>2477</v>
      </c>
      <c r="G17" s="64">
        <v>5.0</v>
      </c>
      <c r="H17" s="64" t="s">
        <v>2478</v>
      </c>
      <c r="I17" s="65" t="str">
        <f t="shared" si="1"/>
        <v>✅ 100%</v>
      </c>
    </row>
    <row r="18" ht="51.0" customHeight="1">
      <c r="A18" s="66" t="s">
        <v>2479</v>
      </c>
      <c r="B18" s="67" t="s">
        <v>2480</v>
      </c>
      <c r="C18" s="67" t="s">
        <v>2475</v>
      </c>
      <c r="D18" s="67" t="s">
        <v>767</v>
      </c>
      <c r="E18" s="67" t="s">
        <v>2481</v>
      </c>
      <c r="F18" s="67" t="s">
        <v>2482</v>
      </c>
      <c r="G18" s="67">
        <v>3.0</v>
      </c>
      <c r="H18" s="67" t="s">
        <v>2483</v>
      </c>
      <c r="I18" s="65" t="str">
        <f t="shared" si="1"/>
        <v>✅ 100%</v>
      </c>
    </row>
    <row r="19" ht="70.5" customHeight="1">
      <c r="A19" s="63" t="s">
        <v>2484</v>
      </c>
      <c r="B19" s="64" t="s">
        <v>2485</v>
      </c>
      <c r="C19" s="64" t="s">
        <v>2454</v>
      </c>
      <c r="D19" s="64" t="s">
        <v>78</v>
      </c>
      <c r="E19" s="64" t="s">
        <v>2486</v>
      </c>
      <c r="F19" s="64" t="s">
        <v>2485</v>
      </c>
      <c r="G19" s="64">
        <v>4.0</v>
      </c>
      <c r="H19" s="64" t="s">
        <v>2487</v>
      </c>
      <c r="I19" s="65" t="str">
        <f t="shared" si="1"/>
        <v>✅ 100%</v>
      </c>
    </row>
    <row r="20" ht="125.25" customHeight="1">
      <c r="A20" s="66" t="s">
        <v>2488</v>
      </c>
      <c r="B20" s="67" t="s">
        <v>2489</v>
      </c>
      <c r="C20" s="67" t="s">
        <v>2413</v>
      </c>
      <c r="D20" s="67" t="s">
        <v>2414</v>
      </c>
      <c r="E20" s="67" t="s">
        <v>2428</v>
      </c>
      <c r="F20" s="67" t="s">
        <v>2489</v>
      </c>
      <c r="G20" s="67">
        <v>8.0</v>
      </c>
      <c r="H20" s="67" t="s">
        <v>2490</v>
      </c>
      <c r="I20" s="65" t="str">
        <f t="shared" si="1"/>
        <v>✅ 100%</v>
      </c>
    </row>
    <row r="21" ht="42.75" customHeight="1">
      <c r="A21" s="63" t="s">
        <v>2491</v>
      </c>
      <c r="B21" s="64" t="s">
        <v>2492</v>
      </c>
      <c r="C21" s="64" t="s">
        <v>2475</v>
      </c>
      <c r="D21" s="64" t="s">
        <v>2414</v>
      </c>
      <c r="E21" s="64" t="s">
        <v>2493</v>
      </c>
      <c r="F21" s="64" t="s">
        <v>2492</v>
      </c>
      <c r="G21" s="64">
        <v>3.0</v>
      </c>
      <c r="H21" s="64" t="s">
        <v>2494</v>
      </c>
      <c r="I21" s="65" t="str">
        <f t="shared" si="1"/>
        <v>✅ 100%</v>
      </c>
    </row>
    <row r="22" ht="123.0" customHeight="1">
      <c r="A22" s="66" t="s">
        <v>2495</v>
      </c>
      <c r="B22" s="67" t="s">
        <v>2496</v>
      </c>
      <c r="C22" s="67" t="s">
        <v>2424</v>
      </c>
      <c r="D22" s="67" t="s">
        <v>78</v>
      </c>
      <c r="E22" s="67" t="s">
        <v>2497</v>
      </c>
      <c r="F22" s="67" t="s">
        <v>2498</v>
      </c>
      <c r="G22" s="67">
        <v>8.0</v>
      </c>
      <c r="H22" s="67" t="s">
        <v>2499</v>
      </c>
      <c r="I22" s="65" t="str">
        <f t="shared" si="1"/>
        <v>✅ 100%</v>
      </c>
    </row>
    <row r="23" ht="99.0" customHeight="1">
      <c r="A23" s="63" t="s">
        <v>2500</v>
      </c>
      <c r="B23" s="64" t="s">
        <v>2501</v>
      </c>
      <c r="C23" s="64" t="s">
        <v>2424</v>
      </c>
      <c r="D23" s="64" t="s">
        <v>78</v>
      </c>
      <c r="E23" s="64" t="s">
        <v>2502</v>
      </c>
      <c r="F23" s="64" t="s">
        <v>2503</v>
      </c>
      <c r="G23" s="64">
        <v>6.0</v>
      </c>
      <c r="H23" s="64" t="s">
        <v>2504</v>
      </c>
      <c r="I23" s="65" t="str">
        <f t="shared" si="1"/>
        <v>✅ 100%</v>
      </c>
    </row>
    <row r="24" ht="51.75" customHeight="1">
      <c r="A24" s="66" t="s">
        <v>2505</v>
      </c>
      <c r="B24" s="67" t="s">
        <v>2506</v>
      </c>
      <c r="C24" s="67" t="s">
        <v>2408</v>
      </c>
      <c r="D24" s="67" t="s">
        <v>656</v>
      </c>
      <c r="E24" s="67" t="s">
        <v>2507</v>
      </c>
      <c r="F24" s="67" t="s">
        <v>2508</v>
      </c>
      <c r="G24" s="67">
        <v>3.0</v>
      </c>
      <c r="H24" s="67" t="s">
        <v>2509</v>
      </c>
      <c r="I24" s="65" t="str">
        <f t="shared" si="1"/>
        <v>✅ 100%</v>
      </c>
    </row>
    <row r="25" ht="55.5" customHeight="1">
      <c r="A25" s="63" t="s">
        <v>2510</v>
      </c>
      <c r="B25" s="64" t="s">
        <v>2468</v>
      </c>
      <c r="C25" s="64" t="s">
        <v>2475</v>
      </c>
      <c r="D25" s="64" t="s">
        <v>90</v>
      </c>
      <c r="E25" s="64" t="s">
        <v>2511</v>
      </c>
      <c r="F25" s="64" t="s">
        <v>2468</v>
      </c>
      <c r="G25" s="64">
        <v>3.0</v>
      </c>
      <c r="H25" s="64" t="s">
        <v>2512</v>
      </c>
      <c r="I25" s="65" t="str">
        <f t="shared" si="1"/>
        <v>✅ 100%</v>
      </c>
    </row>
    <row r="26" ht="81.75" customHeight="1">
      <c r="A26" s="66" t="s">
        <v>2513</v>
      </c>
      <c r="B26" s="67" t="s">
        <v>2474</v>
      </c>
      <c r="C26" s="67" t="s">
        <v>2475</v>
      </c>
      <c r="D26" s="67" t="s">
        <v>801</v>
      </c>
      <c r="E26" s="67" t="s">
        <v>2514</v>
      </c>
      <c r="F26" s="67" t="s">
        <v>2515</v>
      </c>
      <c r="G26" s="67">
        <v>5.0</v>
      </c>
      <c r="H26" s="67" t="s">
        <v>2516</v>
      </c>
      <c r="I26" s="65" t="str">
        <f t="shared" si="1"/>
        <v>✅ 100%</v>
      </c>
    </row>
    <row r="27" ht="51.0" customHeight="1">
      <c r="A27" s="63" t="s">
        <v>2517</v>
      </c>
      <c r="B27" s="64" t="s">
        <v>2480</v>
      </c>
      <c r="C27" s="64" t="s">
        <v>2475</v>
      </c>
      <c r="D27" s="64" t="s">
        <v>767</v>
      </c>
      <c r="E27" s="64" t="s">
        <v>2518</v>
      </c>
      <c r="F27" s="64" t="s">
        <v>2519</v>
      </c>
      <c r="G27" s="64">
        <v>3.0</v>
      </c>
      <c r="H27" s="64" t="s">
        <v>2520</v>
      </c>
      <c r="I27" s="65" t="str">
        <f t="shared" si="1"/>
        <v>✅ 100%</v>
      </c>
    </row>
    <row r="28" ht="14.25" customHeight="1">
      <c r="A28" s="68"/>
      <c r="B28" s="69"/>
      <c r="C28" s="69"/>
      <c r="D28" s="69"/>
      <c r="E28" s="69"/>
      <c r="F28" s="69"/>
      <c r="G28" s="69"/>
      <c r="H28" s="69"/>
      <c r="I28" s="70"/>
    </row>
    <row r="29" ht="14.25" customHeight="1">
      <c r="A29" s="68"/>
      <c r="B29" s="69"/>
      <c r="C29" s="69"/>
      <c r="D29" s="69"/>
      <c r="E29" s="69"/>
      <c r="F29" s="69"/>
      <c r="G29" s="69"/>
      <c r="H29" s="69"/>
      <c r="I29" s="70"/>
    </row>
    <row r="30" ht="14.25" customHeight="1">
      <c r="A30" s="68"/>
      <c r="B30" s="69"/>
      <c r="C30" s="69"/>
      <c r="D30" s="69"/>
      <c r="E30" s="69"/>
      <c r="F30" s="69"/>
      <c r="G30" s="69"/>
      <c r="H30" s="69"/>
      <c r="I30" s="70"/>
    </row>
    <row r="31" ht="14.25" customHeight="1">
      <c r="A31" s="68"/>
      <c r="B31" s="69"/>
      <c r="C31" s="69"/>
      <c r="D31" s="69"/>
      <c r="E31" s="69"/>
      <c r="F31" s="69"/>
      <c r="G31" s="69"/>
      <c r="H31" s="69"/>
      <c r="I31" s="70"/>
    </row>
    <row r="32" ht="14.25" customHeight="1">
      <c r="A32" s="68"/>
      <c r="B32" s="69"/>
      <c r="C32" s="69"/>
      <c r="D32" s="69"/>
      <c r="E32" s="69"/>
      <c r="F32" s="69"/>
      <c r="G32" s="69"/>
      <c r="H32" s="69"/>
      <c r="I32" s="70"/>
    </row>
    <row r="33" ht="14.25" customHeight="1">
      <c r="A33" s="68"/>
      <c r="B33" s="69"/>
      <c r="C33" s="69"/>
      <c r="D33" s="69"/>
      <c r="E33" s="69"/>
      <c r="F33" s="69"/>
      <c r="G33" s="69"/>
      <c r="H33" s="69"/>
      <c r="I33" s="70"/>
    </row>
    <row r="34" ht="14.25" customHeight="1">
      <c r="A34" s="68"/>
      <c r="B34" s="69"/>
      <c r="C34" s="69"/>
      <c r="D34" s="69"/>
      <c r="E34" s="69"/>
      <c r="F34" s="69"/>
      <c r="G34" s="69"/>
      <c r="H34" s="69"/>
      <c r="I34" s="70"/>
    </row>
    <row r="35" ht="14.25" customHeight="1">
      <c r="A35" s="59"/>
      <c r="B35" s="59"/>
      <c r="C35" s="59"/>
      <c r="D35" s="59"/>
      <c r="E35" s="59"/>
      <c r="F35" s="59"/>
      <c r="G35" s="59"/>
      <c r="H35" s="61"/>
    </row>
    <row r="36" ht="14.25" customHeight="1">
      <c r="A36" s="59"/>
      <c r="B36" s="59"/>
      <c r="C36" s="59"/>
      <c r="D36" s="59"/>
      <c r="E36" s="59"/>
      <c r="F36" s="59"/>
      <c r="G36" s="59"/>
      <c r="H36" s="61"/>
    </row>
    <row r="37" ht="14.25" customHeight="1">
      <c r="A37" s="59"/>
      <c r="B37" s="59"/>
      <c r="C37" s="59"/>
      <c r="D37" s="59"/>
      <c r="E37" s="59"/>
      <c r="F37" s="59"/>
      <c r="G37" s="59"/>
      <c r="H37" s="61"/>
    </row>
    <row r="38" ht="14.25" customHeight="1">
      <c r="A38" s="59"/>
      <c r="B38" s="59"/>
      <c r="C38" s="59"/>
      <c r="D38" s="59"/>
      <c r="E38" s="59"/>
      <c r="F38" s="59"/>
      <c r="G38" s="59"/>
      <c r="H38" s="61"/>
    </row>
    <row r="39" ht="14.25" customHeight="1">
      <c r="A39" s="59"/>
      <c r="B39" s="59"/>
      <c r="C39" s="59"/>
      <c r="D39" s="59"/>
      <c r="E39" s="59"/>
      <c r="F39" s="59"/>
      <c r="G39" s="59"/>
      <c r="H39" s="61"/>
    </row>
    <row r="40" ht="14.25" customHeight="1">
      <c r="A40" s="59"/>
      <c r="B40" s="59"/>
      <c r="C40" s="59"/>
      <c r="D40" s="59"/>
      <c r="E40" s="59"/>
      <c r="F40" s="59"/>
      <c r="G40" s="59"/>
      <c r="H40" s="61"/>
    </row>
    <row r="41" ht="14.25" customHeight="1">
      <c r="A41" s="59"/>
      <c r="B41" s="59"/>
      <c r="C41" s="59"/>
      <c r="D41" s="59"/>
      <c r="E41" s="59"/>
      <c r="F41" s="59"/>
      <c r="G41" s="59"/>
      <c r="H41" s="61"/>
    </row>
    <row r="42" ht="14.25" customHeight="1">
      <c r="A42" s="59"/>
      <c r="B42" s="59"/>
      <c r="C42" s="59"/>
      <c r="D42" s="59"/>
      <c r="E42" s="59"/>
      <c r="F42" s="59"/>
      <c r="G42" s="59"/>
      <c r="H42" s="61"/>
    </row>
    <row r="43" ht="14.25" customHeight="1">
      <c r="A43" s="59"/>
      <c r="B43" s="59"/>
      <c r="C43" s="59"/>
      <c r="D43" s="59"/>
      <c r="E43" s="59"/>
      <c r="F43" s="59"/>
      <c r="G43" s="59"/>
      <c r="H43" s="61"/>
    </row>
    <row r="44" ht="14.25" customHeight="1">
      <c r="A44" s="59"/>
      <c r="B44" s="59"/>
      <c r="C44" s="59"/>
      <c r="D44" s="59"/>
      <c r="E44" s="59"/>
      <c r="F44" s="59"/>
      <c r="G44" s="59"/>
      <c r="H44" s="61"/>
    </row>
    <row r="45" ht="14.25" customHeight="1">
      <c r="A45" s="59"/>
      <c r="B45" s="59"/>
      <c r="C45" s="59"/>
      <c r="D45" s="59"/>
      <c r="E45" s="59"/>
      <c r="F45" s="59"/>
      <c r="G45" s="59"/>
      <c r="H45" s="61"/>
    </row>
    <row r="46" ht="14.25" customHeight="1">
      <c r="A46" s="59"/>
      <c r="B46" s="59"/>
      <c r="C46" s="59"/>
      <c r="D46" s="59"/>
      <c r="E46" s="59"/>
      <c r="F46" s="59"/>
      <c r="G46" s="59"/>
      <c r="H46" s="61"/>
    </row>
    <row r="47" ht="14.25" customHeight="1">
      <c r="A47" s="59"/>
      <c r="B47" s="59"/>
      <c r="C47" s="59"/>
      <c r="D47" s="59"/>
      <c r="E47" s="59"/>
      <c r="F47" s="59"/>
      <c r="G47" s="59"/>
      <c r="H47" s="61"/>
    </row>
    <row r="48" ht="14.25" customHeight="1">
      <c r="A48" s="59"/>
      <c r="B48" s="59"/>
      <c r="C48" s="59"/>
      <c r="D48" s="59"/>
      <c r="E48" s="59"/>
      <c r="F48" s="59"/>
      <c r="G48" s="59"/>
      <c r="H48" s="61"/>
    </row>
    <row r="49" ht="14.25" customHeight="1">
      <c r="A49" s="59"/>
      <c r="B49" s="59"/>
      <c r="C49" s="59"/>
      <c r="D49" s="59"/>
      <c r="E49" s="59"/>
      <c r="F49" s="59"/>
      <c r="G49" s="59"/>
      <c r="H49" s="61"/>
    </row>
    <row r="50" ht="14.25" customHeight="1">
      <c r="A50" s="59"/>
      <c r="B50" s="59"/>
      <c r="C50" s="59"/>
      <c r="D50" s="59"/>
      <c r="E50" s="59"/>
      <c r="F50" s="59"/>
      <c r="G50" s="59"/>
      <c r="H50" s="61"/>
    </row>
    <row r="51" ht="14.25" customHeight="1">
      <c r="A51" s="59"/>
      <c r="B51" s="59"/>
      <c r="C51" s="59"/>
      <c r="D51" s="59"/>
      <c r="E51" s="59"/>
      <c r="F51" s="59"/>
      <c r="G51" s="59"/>
      <c r="H51" s="61"/>
    </row>
    <row r="52" ht="14.25" customHeight="1">
      <c r="A52" s="59"/>
      <c r="B52" s="59"/>
      <c r="C52" s="59"/>
      <c r="D52" s="59"/>
      <c r="E52" s="59"/>
      <c r="F52" s="59"/>
      <c r="G52" s="59"/>
      <c r="H52" s="61"/>
    </row>
    <row r="53" ht="14.25" customHeight="1">
      <c r="A53" s="59"/>
      <c r="B53" s="59"/>
      <c r="C53" s="59"/>
      <c r="D53" s="59"/>
      <c r="E53" s="59"/>
      <c r="F53" s="59"/>
      <c r="G53" s="59"/>
      <c r="H53" s="61"/>
    </row>
    <row r="54" ht="14.25" customHeight="1">
      <c r="A54" s="59"/>
      <c r="B54" s="59"/>
      <c r="C54" s="59"/>
      <c r="D54" s="59"/>
      <c r="E54" s="59"/>
      <c r="F54" s="59"/>
      <c r="G54" s="59"/>
      <c r="H54" s="61"/>
    </row>
    <row r="55" ht="14.25" customHeight="1">
      <c r="A55" s="59"/>
      <c r="B55" s="59"/>
      <c r="C55" s="59"/>
      <c r="D55" s="59"/>
      <c r="E55" s="59"/>
      <c r="F55" s="59"/>
      <c r="G55" s="59"/>
      <c r="H55" s="61"/>
    </row>
    <row r="56" ht="14.25" customHeight="1">
      <c r="A56" s="59"/>
      <c r="B56" s="59"/>
      <c r="C56" s="59"/>
      <c r="D56" s="59"/>
      <c r="E56" s="59"/>
      <c r="F56" s="59"/>
      <c r="G56" s="59"/>
      <c r="H56" s="61"/>
    </row>
    <row r="57" ht="14.25" customHeight="1">
      <c r="A57" s="59"/>
      <c r="B57" s="59"/>
      <c r="C57" s="59"/>
      <c r="D57" s="59"/>
      <c r="E57" s="59"/>
      <c r="F57" s="59"/>
      <c r="G57" s="59"/>
      <c r="H57" s="61"/>
    </row>
    <row r="58" ht="14.25" customHeight="1">
      <c r="A58" s="59"/>
      <c r="B58" s="59"/>
      <c r="C58" s="59"/>
      <c r="D58" s="59"/>
      <c r="E58" s="59"/>
      <c r="F58" s="59"/>
      <c r="G58" s="59"/>
      <c r="H58" s="61"/>
    </row>
    <row r="59" ht="14.25" customHeight="1">
      <c r="A59" s="59"/>
      <c r="B59" s="59"/>
      <c r="C59" s="59"/>
      <c r="D59" s="59"/>
      <c r="E59" s="59"/>
      <c r="F59" s="59"/>
      <c r="G59" s="59"/>
      <c r="H59" s="61"/>
    </row>
    <row r="60" ht="14.25" customHeight="1">
      <c r="A60" s="59"/>
      <c r="B60" s="59"/>
      <c r="C60" s="59"/>
      <c r="D60" s="59"/>
      <c r="E60" s="59"/>
      <c r="F60" s="59"/>
      <c r="G60" s="59"/>
      <c r="H60" s="61"/>
    </row>
    <row r="61" ht="14.25" customHeight="1">
      <c r="A61" s="59"/>
      <c r="B61" s="59"/>
      <c r="C61" s="59"/>
      <c r="D61" s="59"/>
      <c r="E61" s="59"/>
      <c r="F61" s="59"/>
      <c r="G61" s="59"/>
      <c r="H61" s="61"/>
    </row>
    <row r="62" ht="14.25" customHeight="1">
      <c r="A62" s="59"/>
      <c r="B62" s="59"/>
      <c r="C62" s="59"/>
      <c r="D62" s="59"/>
      <c r="E62" s="59"/>
      <c r="F62" s="59"/>
      <c r="G62" s="59"/>
      <c r="H62" s="61"/>
    </row>
    <row r="63" ht="14.25" customHeight="1">
      <c r="A63" s="59"/>
      <c r="B63" s="59"/>
      <c r="C63" s="59"/>
      <c r="D63" s="59"/>
      <c r="E63" s="59"/>
      <c r="F63" s="59"/>
      <c r="G63" s="59"/>
      <c r="H63" s="61"/>
    </row>
    <row r="64" ht="14.25" customHeight="1">
      <c r="A64" s="59"/>
      <c r="B64" s="59"/>
      <c r="C64" s="59"/>
      <c r="D64" s="59"/>
      <c r="E64" s="59"/>
      <c r="F64" s="59"/>
      <c r="G64" s="59"/>
      <c r="H64" s="61"/>
    </row>
    <row r="65" ht="14.25" customHeight="1">
      <c r="A65" s="59"/>
      <c r="B65" s="59"/>
      <c r="C65" s="59"/>
      <c r="D65" s="59"/>
      <c r="E65" s="59"/>
      <c r="F65" s="59"/>
      <c r="G65" s="59"/>
      <c r="H65" s="61"/>
    </row>
    <row r="66" ht="14.25" customHeight="1">
      <c r="A66" s="59"/>
      <c r="B66" s="59"/>
      <c r="C66" s="59"/>
      <c r="D66" s="59"/>
      <c r="E66" s="59"/>
      <c r="F66" s="59"/>
      <c r="G66" s="59"/>
      <c r="H66" s="61"/>
    </row>
    <row r="67" ht="14.25" customHeight="1">
      <c r="A67" s="59"/>
      <c r="B67" s="59"/>
      <c r="C67" s="59"/>
      <c r="D67" s="59"/>
      <c r="E67" s="59"/>
      <c r="F67" s="59"/>
      <c r="G67" s="59"/>
      <c r="H67" s="61"/>
    </row>
    <row r="68" ht="14.25" customHeight="1">
      <c r="A68" s="59"/>
      <c r="B68" s="59"/>
      <c r="C68" s="59"/>
      <c r="D68" s="59"/>
      <c r="E68" s="59"/>
      <c r="F68" s="59"/>
      <c r="G68" s="59"/>
      <c r="H68" s="61"/>
    </row>
    <row r="69" ht="14.25" customHeight="1">
      <c r="A69" s="59"/>
      <c r="B69" s="59"/>
      <c r="C69" s="59"/>
      <c r="D69" s="59"/>
      <c r="E69" s="59"/>
      <c r="F69" s="59"/>
      <c r="G69" s="59"/>
      <c r="H69" s="61"/>
    </row>
    <row r="70" ht="14.25" customHeight="1">
      <c r="A70" s="59"/>
      <c r="B70" s="59"/>
      <c r="C70" s="59"/>
      <c r="D70" s="59"/>
      <c r="E70" s="59"/>
      <c r="F70" s="59"/>
      <c r="G70" s="59"/>
      <c r="H70" s="61"/>
    </row>
    <row r="71" ht="14.25" customHeight="1">
      <c r="A71" s="59"/>
      <c r="B71" s="59"/>
      <c r="C71" s="59"/>
      <c r="D71" s="59"/>
      <c r="E71" s="59"/>
      <c r="F71" s="59"/>
      <c r="G71" s="59"/>
      <c r="H71" s="61"/>
    </row>
    <row r="72" ht="14.25" customHeight="1">
      <c r="A72" s="59"/>
      <c r="B72" s="59"/>
      <c r="C72" s="59"/>
      <c r="D72" s="59"/>
      <c r="E72" s="59"/>
      <c r="F72" s="59"/>
      <c r="G72" s="59"/>
      <c r="H72" s="61"/>
    </row>
    <row r="73" ht="14.25" customHeight="1">
      <c r="A73" s="59"/>
      <c r="B73" s="59"/>
      <c r="C73" s="59"/>
      <c r="D73" s="59"/>
      <c r="E73" s="59"/>
      <c r="F73" s="59"/>
      <c r="G73" s="59"/>
      <c r="H73" s="61"/>
    </row>
    <row r="74" ht="14.25" customHeight="1">
      <c r="A74" s="59"/>
      <c r="B74" s="59"/>
      <c r="C74" s="59"/>
      <c r="D74" s="59"/>
      <c r="E74" s="59"/>
      <c r="F74" s="59"/>
      <c r="G74" s="59"/>
      <c r="H74" s="61"/>
    </row>
    <row r="75" ht="14.25" customHeight="1">
      <c r="A75" s="59"/>
      <c r="B75" s="59"/>
      <c r="C75" s="59"/>
      <c r="D75" s="59"/>
      <c r="E75" s="59"/>
      <c r="F75" s="59"/>
      <c r="G75" s="59"/>
      <c r="H75" s="61"/>
    </row>
    <row r="76" ht="14.25" customHeight="1">
      <c r="A76" s="59"/>
      <c r="B76" s="59"/>
      <c r="C76" s="59"/>
      <c r="D76" s="59"/>
      <c r="E76" s="59"/>
      <c r="F76" s="59"/>
      <c r="G76" s="59"/>
      <c r="H76" s="61"/>
    </row>
    <row r="77" ht="14.25" customHeight="1">
      <c r="A77" s="59"/>
      <c r="B77" s="59"/>
      <c r="C77" s="59"/>
      <c r="D77" s="59"/>
      <c r="E77" s="59"/>
      <c r="F77" s="59"/>
      <c r="G77" s="59"/>
      <c r="H77" s="61"/>
    </row>
    <row r="78" ht="14.25" customHeight="1">
      <c r="A78" s="59"/>
      <c r="B78" s="59"/>
      <c r="C78" s="59"/>
      <c r="D78" s="59"/>
      <c r="E78" s="59"/>
      <c r="F78" s="59"/>
      <c r="G78" s="59"/>
      <c r="H78" s="61"/>
    </row>
    <row r="79" ht="14.25" customHeight="1">
      <c r="A79" s="59"/>
      <c r="B79" s="59"/>
      <c r="C79" s="59"/>
      <c r="D79" s="59"/>
      <c r="E79" s="59"/>
      <c r="F79" s="59"/>
      <c r="G79" s="59"/>
      <c r="H79" s="61"/>
    </row>
    <row r="80" ht="14.25" customHeight="1">
      <c r="A80" s="59"/>
      <c r="B80" s="59"/>
      <c r="C80" s="59"/>
      <c r="D80" s="59"/>
      <c r="E80" s="59"/>
      <c r="F80" s="59"/>
      <c r="G80" s="59"/>
      <c r="H80" s="61"/>
    </row>
    <row r="81" ht="14.25" customHeight="1">
      <c r="A81" s="59"/>
      <c r="B81" s="59"/>
      <c r="C81" s="59"/>
      <c r="D81" s="59"/>
      <c r="E81" s="59"/>
      <c r="F81" s="59"/>
      <c r="G81" s="59"/>
      <c r="H81" s="61"/>
    </row>
    <row r="82" ht="14.25" customHeight="1">
      <c r="A82" s="59"/>
      <c r="B82" s="59"/>
      <c r="C82" s="59"/>
      <c r="D82" s="59"/>
      <c r="E82" s="59"/>
      <c r="F82" s="59"/>
      <c r="G82" s="59"/>
      <c r="H82" s="61"/>
    </row>
    <row r="83" ht="14.25" customHeight="1">
      <c r="A83" s="59"/>
      <c r="B83" s="59"/>
      <c r="C83" s="59"/>
      <c r="D83" s="59"/>
      <c r="E83" s="59"/>
      <c r="F83" s="59"/>
      <c r="G83" s="59"/>
      <c r="H83" s="61"/>
    </row>
    <row r="84" ht="14.25" customHeight="1">
      <c r="A84" s="59"/>
      <c r="B84" s="59"/>
      <c r="C84" s="59"/>
      <c r="D84" s="59"/>
      <c r="E84" s="59"/>
      <c r="F84" s="59"/>
      <c r="G84" s="59"/>
      <c r="H84" s="61"/>
    </row>
    <row r="85" ht="14.25" customHeight="1">
      <c r="A85" s="59"/>
      <c r="B85" s="59"/>
      <c r="C85" s="59"/>
      <c r="D85" s="59"/>
      <c r="E85" s="59"/>
      <c r="F85" s="59"/>
      <c r="G85" s="59"/>
      <c r="H85" s="61"/>
    </row>
    <row r="86" ht="14.25" customHeight="1">
      <c r="A86" s="59"/>
      <c r="B86" s="59"/>
      <c r="C86" s="59"/>
      <c r="D86" s="59"/>
      <c r="E86" s="59"/>
      <c r="F86" s="59"/>
      <c r="G86" s="59"/>
      <c r="H86" s="61"/>
    </row>
    <row r="87" ht="14.25" customHeight="1">
      <c r="A87" s="59"/>
      <c r="B87" s="59"/>
      <c r="C87" s="59"/>
      <c r="D87" s="59"/>
      <c r="E87" s="59"/>
      <c r="F87" s="59"/>
      <c r="G87" s="59"/>
      <c r="H87" s="61"/>
    </row>
    <row r="88" ht="14.25" customHeight="1">
      <c r="A88" s="59"/>
      <c r="B88" s="59"/>
      <c r="C88" s="59"/>
      <c r="D88" s="59"/>
      <c r="E88" s="59"/>
      <c r="F88" s="59"/>
      <c r="G88" s="59"/>
      <c r="H88" s="61"/>
    </row>
    <row r="89" ht="14.25" customHeight="1">
      <c r="A89" s="59"/>
      <c r="B89" s="59"/>
      <c r="C89" s="59"/>
      <c r="D89" s="59"/>
      <c r="E89" s="59"/>
      <c r="F89" s="59"/>
      <c r="G89" s="59"/>
      <c r="H89" s="61"/>
    </row>
    <row r="90" ht="14.25" customHeight="1">
      <c r="A90" s="59"/>
      <c r="B90" s="59"/>
      <c r="C90" s="59"/>
      <c r="D90" s="59"/>
      <c r="E90" s="59"/>
      <c r="F90" s="59"/>
      <c r="G90" s="59"/>
      <c r="H90" s="61"/>
    </row>
    <row r="91" ht="14.25" customHeight="1">
      <c r="A91" s="59"/>
      <c r="B91" s="59"/>
      <c r="C91" s="59"/>
      <c r="D91" s="59"/>
      <c r="E91" s="59"/>
      <c r="F91" s="59"/>
      <c r="G91" s="59"/>
      <c r="H91" s="61"/>
    </row>
    <row r="92" ht="14.25" customHeight="1">
      <c r="A92" s="59"/>
      <c r="B92" s="59"/>
      <c r="C92" s="59"/>
      <c r="D92" s="59"/>
      <c r="E92" s="59"/>
      <c r="F92" s="59"/>
      <c r="G92" s="59"/>
      <c r="H92" s="61"/>
    </row>
    <row r="93" ht="14.25" customHeight="1">
      <c r="A93" s="59"/>
      <c r="B93" s="59"/>
      <c r="C93" s="59"/>
      <c r="D93" s="59"/>
      <c r="E93" s="59"/>
      <c r="F93" s="59"/>
      <c r="G93" s="59"/>
      <c r="H93" s="61"/>
    </row>
    <row r="94" ht="14.25" customHeight="1">
      <c r="A94" s="59"/>
      <c r="B94" s="59"/>
      <c r="C94" s="59"/>
      <c r="D94" s="59"/>
      <c r="E94" s="59"/>
      <c r="F94" s="59"/>
      <c r="G94" s="59"/>
      <c r="H94" s="61"/>
    </row>
    <row r="95" ht="14.25" customHeight="1">
      <c r="A95" s="59"/>
      <c r="B95" s="59"/>
      <c r="C95" s="59"/>
      <c r="D95" s="59"/>
      <c r="E95" s="59"/>
      <c r="F95" s="59"/>
      <c r="G95" s="59"/>
      <c r="H95" s="61"/>
    </row>
    <row r="96" ht="14.25" customHeight="1">
      <c r="A96" s="59"/>
      <c r="B96" s="59"/>
      <c r="C96" s="59"/>
      <c r="D96" s="59"/>
      <c r="E96" s="59"/>
      <c r="F96" s="59"/>
      <c r="G96" s="59"/>
      <c r="H96" s="61"/>
    </row>
    <row r="97" ht="14.25" customHeight="1">
      <c r="A97" s="59"/>
      <c r="B97" s="59"/>
      <c r="C97" s="59"/>
      <c r="D97" s="59"/>
      <c r="E97" s="59"/>
      <c r="F97" s="59"/>
      <c r="G97" s="59"/>
      <c r="H97" s="61"/>
    </row>
    <row r="98" ht="14.25" customHeight="1">
      <c r="A98" s="59"/>
      <c r="B98" s="59"/>
      <c r="C98" s="59"/>
      <c r="D98" s="59"/>
      <c r="E98" s="59"/>
      <c r="F98" s="59"/>
      <c r="G98" s="59"/>
      <c r="H98" s="61"/>
    </row>
    <row r="99" ht="14.25" customHeight="1">
      <c r="A99" s="59"/>
      <c r="B99" s="59"/>
      <c r="C99" s="59"/>
      <c r="D99" s="59"/>
      <c r="E99" s="59"/>
      <c r="F99" s="59"/>
      <c r="G99" s="59"/>
      <c r="H99" s="61"/>
    </row>
    <row r="100" ht="14.25" customHeight="1">
      <c r="A100" s="59"/>
      <c r="B100" s="59"/>
      <c r="C100" s="59"/>
      <c r="D100" s="59"/>
      <c r="E100" s="59"/>
      <c r="F100" s="59"/>
      <c r="G100" s="59"/>
      <c r="H100" s="61"/>
    </row>
    <row r="101" ht="14.25" customHeight="1">
      <c r="A101" s="59"/>
      <c r="B101" s="59"/>
      <c r="C101" s="59"/>
      <c r="D101" s="59"/>
      <c r="E101" s="59"/>
      <c r="F101" s="59"/>
      <c r="G101" s="59"/>
      <c r="H101" s="61"/>
    </row>
    <row r="102" ht="14.25" customHeight="1">
      <c r="A102" s="59"/>
      <c r="B102" s="59"/>
      <c r="C102" s="59"/>
      <c r="D102" s="59"/>
      <c r="E102" s="59"/>
      <c r="F102" s="59"/>
      <c r="G102" s="59"/>
      <c r="H102" s="61"/>
    </row>
    <row r="103" ht="14.25" customHeight="1">
      <c r="A103" s="59"/>
      <c r="B103" s="59"/>
      <c r="C103" s="59"/>
      <c r="D103" s="59"/>
      <c r="E103" s="59"/>
      <c r="F103" s="59"/>
      <c r="G103" s="59"/>
      <c r="H103" s="61"/>
    </row>
    <row r="104" ht="14.25" customHeight="1">
      <c r="A104" s="59"/>
      <c r="B104" s="59"/>
      <c r="C104" s="59"/>
      <c r="D104" s="59"/>
      <c r="E104" s="59"/>
      <c r="F104" s="59"/>
      <c r="G104" s="59"/>
      <c r="H104" s="61"/>
    </row>
    <row r="105" ht="14.25" customHeight="1">
      <c r="A105" s="59"/>
      <c r="B105" s="59"/>
      <c r="C105" s="59"/>
      <c r="D105" s="59"/>
      <c r="E105" s="59"/>
      <c r="F105" s="59"/>
      <c r="G105" s="59"/>
      <c r="H105" s="61"/>
    </row>
    <row r="106" ht="14.25" customHeight="1">
      <c r="A106" s="59"/>
      <c r="B106" s="59"/>
      <c r="C106" s="59"/>
      <c r="D106" s="59"/>
      <c r="E106" s="59"/>
      <c r="F106" s="59"/>
      <c r="G106" s="59"/>
      <c r="H106" s="61"/>
    </row>
    <row r="107" ht="14.25" customHeight="1">
      <c r="A107" s="59"/>
      <c r="B107" s="59"/>
      <c r="C107" s="59"/>
      <c r="D107" s="59"/>
      <c r="E107" s="59"/>
      <c r="F107" s="59"/>
      <c r="G107" s="59"/>
      <c r="H107" s="61"/>
    </row>
    <row r="108" ht="14.25" customHeight="1">
      <c r="A108" s="59"/>
      <c r="B108" s="59"/>
      <c r="C108" s="59"/>
      <c r="D108" s="59"/>
      <c r="E108" s="59"/>
      <c r="F108" s="59"/>
      <c r="G108" s="59"/>
      <c r="H108" s="61"/>
    </row>
    <row r="109" ht="14.25" customHeight="1">
      <c r="A109" s="59"/>
      <c r="B109" s="59"/>
      <c r="C109" s="59"/>
      <c r="D109" s="59"/>
      <c r="E109" s="59"/>
      <c r="F109" s="59"/>
      <c r="G109" s="59"/>
      <c r="H109" s="61"/>
    </row>
    <row r="110" ht="14.25" customHeight="1">
      <c r="A110" s="59"/>
      <c r="B110" s="59"/>
      <c r="C110" s="59"/>
      <c r="D110" s="59"/>
      <c r="E110" s="59"/>
      <c r="F110" s="59"/>
      <c r="G110" s="59"/>
      <c r="H110" s="61"/>
    </row>
    <row r="111" ht="14.25" customHeight="1">
      <c r="A111" s="59"/>
      <c r="B111" s="59"/>
      <c r="C111" s="59"/>
      <c r="D111" s="59"/>
      <c r="E111" s="59"/>
      <c r="F111" s="59"/>
      <c r="G111" s="59"/>
      <c r="H111" s="61"/>
    </row>
    <row r="112" ht="14.25" customHeight="1">
      <c r="A112" s="59"/>
      <c r="B112" s="59"/>
      <c r="C112" s="59"/>
      <c r="D112" s="59"/>
      <c r="E112" s="59"/>
      <c r="F112" s="59"/>
      <c r="G112" s="59"/>
      <c r="H112" s="61"/>
    </row>
    <row r="113" ht="14.25" customHeight="1">
      <c r="A113" s="59"/>
      <c r="B113" s="59"/>
      <c r="C113" s="59"/>
      <c r="D113" s="59"/>
      <c r="E113" s="59"/>
      <c r="F113" s="59"/>
      <c r="G113" s="59"/>
      <c r="H113" s="61"/>
    </row>
    <row r="114" ht="14.25" customHeight="1">
      <c r="A114" s="59"/>
      <c r="B114" s="59"/>
      <c r="C114" s="59"/>
      <c r="D114" s="59"/>
      <c r="E114" s="59"/>
      <c r="F114" s="59"/>
      <c r="G114" s="59"/>
      <c r="H114" s="61"/>
    </row>
    <row r="115" ht="14.25" customHeight="1">
      <c r="A115" s="59"/>
      <c r="B115" s="59"/>
      <c r="C115" s="59"/>
      <c r="D115" s="59"/>
      <c r="E115" s="59"/>
      <c r="F115" s="59"/>
      <c r="G115" s="59"/>
      <c r="H115" s="61"/>
    </row>
    <row r="116" ht="14.25" customHeight="1">
      <c r="A116" s="59"/>
      <c r="B116" s="59"/>
      <c r="C116" s="59"/>
      <c r="D116" s="59"/>
      <c r="E116" s="59"/>
      <c r="F116" s="59"/>
      <c r="G116" s="59"/>
      <c r="H116" s="61"/>
    </row>
    <row r="117" ht="14.25" customHeight="1">
      <c r="A117" s="59"/>
      <c r="B117" s="59"/>
      <c r="C117" s="59"/>
      <c r="D117" s="59"/>
      <c r="E117" s="59"/>
      <c r="F117" s="59"/>
      <c r="G117" s="59"/>
      <c r="H117" s="61"/>
    </row>
    <row r="118" ht="14.25" customHeight="1">
      <c r="A118" s="59"/>
      <c r="B118" s="59"/>
      <c r="C118" s="59"/>
      <c r="D118" s="59"/>
      <c r="E118" s="59"/>
      <c r="F118" s="59"/>
      <c r="G118" s="59"/>
      <c r="H118" s="61"/>
    </row>
    <row r="119" ht="14.25" customHeight="1">
      <c r="A119" s="59"/>
      <c r="B119" s="59"/>
      <c r="C119" s="59"/>
      <c r="D119" s="59"/>
      <c r="E119" s="59"/>
      <c r="F119" s="59"/>
      <c r="G119" s="59"/>
      <c r="H119" s="61"/>
    </row>
    <row r="120" ht="14.25" customHeight="1">
      <c r="A120" s="59"/>
      <c r="B120" s="59"/>
      <c r="C120" s="59"/>
      <c r="D120" s="59"/>
      <c r="E120" s="59"/>
      <c r="F120" s="59"/>
      <c r="G120" s="59"/>
      <c r="H120" s="61"/>
    </row>
    <row r="121" ht="14.25" customHeight="1">
      <c r="A121" s="59"/>
      <c r="B121" s="59"/>
      <c r="C121" s="59"/>
      <c r="D121" s="59"/>
      <c r="E121" s="59"/>
      <c r="F121" s="59"/>
      <c r="G121" s="59"/>
      <c r="H121" s="61"/>
    </row>
    <row r="122" ht="14.25" customHeight="1">
      <c r="A122" s="59"/>
      <c r="B122" s="59"/>
      <c r="C122" s="59"/>
      <c r="D122" s="59"/>
      <c r="E122" s="59"/>
      <c r="F122" s="59"/>
      <c r="G122" s="59"/>
      <c r="H122" s="61"/>
    </row>
    <row r="123" ht="14.25" customHeight="1">
      <c r="A123" s="59"/>
      <c r="B123" s="59"/>
      <c r="C123" s="59"/>
      <c r="D123" s="59"/>
      <c r="E123" s="59"/>
      <c r="F123" s="59"/>
      <c r="G123" s="59"/>
      <c r="H123" s="61"/>
    </row>
    <row r="124" ht="14.25" customHeight="1">
      <c r="A124" s="59"/>
      <c r="B124" s="59"/>
      <c r="C124" s="59"/>
      <c r="D124" s="59"/>
      <c r="E124" s="59"/>
      <c r="F124" s="59"/>
      <c r="G124" s="59"/>
      <c r="H124" s="61"/>
    </row>
    <row r="125" ht="14.25" customHeight="1">
      <c r="A125" s="59"/>
      <c r="B125" s="59"/>
      <c r="C125" s="59"/>
      <c r="D125" s="59"/>
      <c r="E125" s="59"/>
      <c r="F125" s="59"/>
      <c r="G125" s="59"/>
      <c r="H125" s="61"/>
    </row>
    <row r="126" ht="14.25" customHeight="1">
      <c r="A126" s="59"/>
      <c r="B126" s="59"/>
      <c r="C126" s="59"/>
      <c r="D126" s="59"/>
      <c r="E126" s="59"/>
      <c r="F126" s="59"/>
      <c r="G126" s="59"/>
      <c r="H126" s="61"/>
    </row>
    <row r="127" ht="14.25" customHeight="1">
      <c r="A127" s="59"/>
      <c r="B127" s="59"/>
      <c r="C127" s="59"/>
      <c r="D127" s="59"/>
      <c r="E127" s="59"/>
      <c r="F127" s="59"/>
      <c r="G127" s="59"/>
      <c r="H127" s="61"/>
    </row>
    <row r="128" ht="14.25" customHeight="1">
      <c r="A128" s="59"/>
      <c r="B128" s="59"/>
      <c r="C128" s="59"/>
      <c r="D128" s="59"/>
      <c r="E128" s="59"/>
      <c r="F128" s="59"/>
      <c r="G128" s="59"/>
      <c r="H128" s="61"/>
    </row>
    <row r="129" ht="14.25" customHeight="1">
      <c r="A129" s="59"/>
      <c r="B129" s="59"/>
      <c r="C129" s="59"/>
      <c r="D129" s="59"/>
      <c r="E129" s="59"/>
      <c r="F129" s="59"/>
      <c r="G129" s="59"/>
      <c r="H129" s="61"/>
    </row>
    <row r="130" ht="14.25" customHeight="1">
      <c r="A130" s="59"/>
      <c r="B130" s="59"/>
      <c r="C130" s="59"/>
      <c r="D130" s="59"/>
      <c r="E130" s="59"/>
      <c r="F130" s="59"/>
      <c r="G130" s="59"/>
      <c r="H130" s="61"/>
    </row>
    <row r="131" ht="14.25" customHeight="1">
      <c r="A131" s="59"/>
      <c r="B131" s="59"/>
      <c r="C131" s="59"/>
      <c r="D131" s="59"/>
      <c r="E131" s="59"/>
      <c r="F131" s="59"/>
      <c r="G131" s="59"/>
      <c r="H131" s="61"/>
    </row>
    <row r="132" ht="14.25" customHeight="1">
      <c r="A132" s="59"/>
      <c r="B132" s="59"/>
      <c r="C132" s="59"/>
      <c r="D132" s="59"/>
      <c r="E132" s="59"/>
      <c r="F132" s="59"/>
      <c r="G132" s="59"/>
      <c r="H132" s="61"/>
    </row>
    <row r="133" ht="14.25" customHeight="1">
      <c r="A133" s="59"/>
      <c r="B133" s="59"/>
      <c r="C133" s="59"/>
      <c r="D133" s="59"/>
      <c r="E133" s="59"/>
      <c r="F133" s="59"/>
      <c r="G133" s="59"/>
      <c r="H133" s="61"/>
    </row>
    <row r="134" ht="14.25" customHeight="1">
      <c r="A134" s="59"/>
      <c r="B134" s="59"/>
      <c r="C134" s="59"/>
      <c r="D134" s="59"/>
      <c r="E134" s="59"/>
      <c r="F134" s="59"/>
      <c r="G134" s="59"/>
      <c r="H134" s="61"/>
    </row>
    <row r="135" ht="14.25" customHeight="1">
      <c r="A135" s="59"/>
      <c r="B135" s="59"/>
      <c r="C135" s="59"/>
      <c r="D135" s="59"/>
      <c r="E135" s="59"/>
      <c r="F135" s="59"/>
      <c r="G135" s="59"/>
      <c r="H135" s="61"/>
    </row>
    <row r="136" ht="14.25" customHeight="1">
      <c r="A136" s="59"/>
      <c r="B136" s="59"/>
      <c r="C136" s="59"/>
      <c r="D136" s="59"/>
      <c r="E136" s="59"/>
      <c r="F136" s="59"/>
      <c r="G136" s="59"/>
      <c r="H136" s="61"/>
    </row>
    <row r="137" ht="14.25" customHeight="1">
      <c r="A137" s="59"/>
      <c r="B137" s="59"/>
      <c r="C137" s="59"/>
      <c r="D137" s="59"/>
      <c r="E137" s="59"/>
      <c r="F137" s="59"/>
      <c r="G137" s="59"/>
      <c r="H137" s="61"/>
    </row>
    <row r="138" ht="14.25" customHeight="1">
      <c r="A138" s="59"/>
      <c r="B138" s="59"/>
      <c r="C138" s="59"/>
      <c r="D138" s="59"/>
      <c r="E138" s="59"/>
      <c r="F138" s="59"/>
      <c r="G138" s="59"/>
      <c r="H138" s="61"/>
    </row>
    <row r="139" ht="14.25" customHeight="1">
      <c r="A139" s="59"/>
      <c r="B139" s="59"/>
      <c r="C139" s="59"/>
      <c r="D139" s="59"/>
      <c r="E139" s="59"/>
      <c r="F139" s="59"/>
      <c r="G139" s="59"/>
      <c r="H139" s="61"/>
    </row>
    <row r="140" ht="14.25" customHeight="1">
      <c r="A140" s="59"/>
      <c r="B140" s="59"/>
      <c r="C140" s="59"/>
      <c r="D140" s="59"/>
      <c r="E140" s="59"/>
      <c r="F140" s="59"/>
      <c r="G140" s="59"/>
      <c r="H140" s="61"/>
    </row>
    <row r="141" ht="14.25" customHeight="1">
      <c r="A141" s="59"/>
      <c r="B141" s="59"/>
      <c r="C141" s="59"/>
      <c r="D141" s="59"/>
      <c r="E141" s="59"/>
      <c r="F141" s="59"/>
      <c r="G141" s="59"/>
      <c r="H141" s="61"/>
    </row>
    <row r="142" ht="14.25" customHeight="1">
      <c r="A142" s="59"/>
      <c r="B142" s="59"/>
      <c r="C142" s="59"/>
      <c r="D142" s="59"/>
      <c r="E142" s="59"/>
      <c r="F142" s="59"/>
      <c r="G142" s="59"/>
      <c r="H142" s="61"/>
    </row>
    <row r="143" ht="14.25" customHeight="1">
      <c r="A143" s="59"/>
      <c r="B143" s="59"/>
      <c r="C143" s="59"/>
      <c r="D143" s="59"/>
      <c r="E143" s="59"/>
      <c r="F143" s="59"/>
      <c r="G143" s="59"/>
      <c r="H143" s="61"/>
    </row>
    <row r="144" ht="14.25" customHeight="1">
      <c r="A144" s="59"/>
      <c r="B144" s="59"/>
      <c r="C144" s="59"/>
      <c r="D144" s="59"/>
      <c r="E144" s="59"/>
      <c r="F144" s="59"/>
      <c r="G144" s="59"/>
      <c r="H144" s="61"/>
    </row>
    <row r="145" ht="14.25" customHeight="1">
      <c r="A145" s="59"/>
      <c r="B145" s="59"/>
      <c r="C145" s="59"/>
      <c r="D145" s="59"/>
      <c r="E145" s="59"/>
      <c r="F145" s="59"/>
      <c r="G145" s="59"/>
      <c r="H145" s="61"/>
    </row>
    <row r="146" ht="14.25" customHeight="1">
      <c r="A146" s="59"/>
      <c r="B146" s="59"/>
      <c r="C146" s="59"/>
      <c r="D146" s="59"/>
      <c r="E146" s="59"/>
      <c r="F146" s="59"/>
      <c r="G146" s="59"/>
      <c r="H146" s="61"/>
    </row>
    <row r="147" ht="14.25" customHeight="1">
      <c r="A147" s="59"/>
      <c r="B147" s="59"/>
      <c r="C147" s="59"/>
      <c r="D147" s="59"/>
      <c r="E147" s="59"/>
      <c r="F147" s="59"/>
      <c r="G147" s="59"/>
      <c r="H147" s="61"/>
    </row>
    <row r="148" ht="14.25" customHeight="1">
      <c r="A148" s="59"/>
      <c r="B148" s="59"/>
      <c r="C148" s="59"/>
      <c r="D148" s="59"/>
      <c r="E148" s="59"/>
      <c r="F148" s="59"/>
      <c r="G148" s="59"/>
      <c r="H148" s="61"/>
    </row>
    <row r="149" ht="14.25" customHeight="1">
      <c r="A149" s="59"/>
      <c r="B149" s="59"/>
      <c r="C149" s="59"/>
      <c r="D149" s="59"/>
      <c r="E149" s="59"/>
      <c r="F149" s="59"/>
      <c r="G149" s="59"/>
      <c r="H149" s="61"/>
    </row>
    <row r="150" ht="14.25" customHeight="1">
      <c r="A150" s="59"/>
      <c r="B150" s="59"/>
      <c r="C150" s="59"/>
      <c r="D150" s="59"/>
      <c r="E150" s="59"/>
      <c r="F150" s="59"/>
      <c r="G150" s="59"/>
      <c r="H150" s="61"/>
    </row>
    <row r="151" ht="14.25" customHeight="1">
      <c r="A151" s="59"/>
      <c r="B151" s="59"/>
      <c r="C151" s="59"/>
      <c r="D151" s="59"/>
      <c r="E151" s="59"/>
      <c r="F151" s="59"/>
      <c r="G151" s="59"/>
      <c r="H151" s="61"/>
    </row>
    <row r="152" ht="14.25" customHeight="1">
      <c r="A152" s="59"/>
      <c r="B152" s="59"/>
      <c r="C152" s="59"/>
      <c r="D152" s="59"/>
      <c r="E152" s="59"/>
      <c r="F152" s="59"/>
      <c r="G152" s="59"/>
      <c r="H152" s="61"/>
    </row>
    <row r="153" ht="14.25" customHeight="1">
      <c r="A153" s="59"/>
      <c r="B153" s="59"/>
      <c r="C153" s="59"/>
      <c r="D153" s="59"/>
      <c r="E153" s="59"/>
      <c r="F153" s="59"/>
      <c r="G153" s="59"/>
      <c r="H153" s="61"/>
    </row>
    <row r="154" ht="14.25" customHeight="1">
      <c r="A154" s="59"/>
      <c r="B154" s="59"/>
      <c r="C154" s="59"/>
      <c r="D154" s="59"/>
      <c r="E154" s="59"/>
      <c r="F154" s="59"/>
      <c r="G154" s="59"/>
      <c r="H154" s="61"/>
    </row>
    <row r="155" ht="14.25" customHeight="1">
      <c r="A155" s="59"/>
      <c r="B155" s="59"/>
      <c r="C155" s="59"/>
      <c r="D155" s="59"/>
      <c r="E155" s="59"/>
      <c r="F155" s="59"/>
      <c r="G155" s="59"/>
      <c r="H155" s="61"/>
    </row>
    <row r="156" ht="14.25" customHeight="1">
      <c r="A156" s="59"/>
      <c r="B156" s="59"/>
      <c r="C156" s="59"/>
      <c r="D156" s="59"/>
      <c r="E156" s="59"/>
      <c r="F156" s="59"/>
      <c r="G156" s="59"/>
      <c r="H156" s="61"/>
    </row>
    <row r="157" ht="14.25" customHeight="1">
      <c r="A157" s="59"/>
      <c r="B157" s="59"/>
      <c r="C157" s="59"/>
      <c r="D157" s="59"/>
      <c r="E157" s="59"/>
      <c r="F157" s="59"/>
      <c r="G157" s="59"/>
      <c r="H157" s="61"/>
    </row>
    <row r="158" ht="14.25" customHeight="1">
      <c r="A158" s="59"/>
      <c r="B158" s="59"/>
      <c r="C158" s="59"/>
      <c r="D158" s="59"/>
      <c r="E158" s="59"/>
      <c r="F158" s="59"/>
      <c r="G158" s="59"/>
      <c r="H158" s="61"/>
    </row>
    <row r="159" ht="14.25" customHeight="1">
      <c r="A159" s="59"/>
      <c r="B159" s="59"/>
      <c r="C159" s="59"/>
      <c r="D159" s="59"/>
      <c r="E159" s="59"/>
      <c r="F159" s="59"/>
      <c r="G159" s="59"/>
      <c r="H159" s="61"/>
    </row>
    <row r="160" ht="14.25" customHeight="1">
      <c r="A160" s="59"/>
      <c r="B160" s="59"/>
      <c r="C160" s="59"/>
      <c r="D160" s="59"/>
      <c r="E160" s="59"/>
      <c r="F160" s="59"/>
      <c r="G160" s="59"/>
      <c r="H160" s="61"/>
    </row>
    <row r="161" ht="14.25" customHeight="1">
      <c r="A161" s="59"/>
      <c r="B161" s="59"/>
      <c r="C161" s="59"/>
      <c r="D161" s="59"/>
      <c r="E161" s="59"/>
      <c r="F161" s="59"/>
      <c r="G161" s="59"/>
      <c r="H161" s="61"/>
    </row>
    <row r="162" ht="14.25" customHeight="1">
      <c r="A162" s="59"/>
      <c r="B162" s="59"/>
      <c r="C162" s="59"/>
      <c r="D162" s="59"/>
      <c r="E162" s="59"/>
      <c r="F162" s="59"/>
      <c r="G162" s="59"/>
      <c r="H162" s="61"/>
    </row>
    <row r="163" ht="14.25" customHeight="1">
      <c r="A163" s="59"/>
      <c r="B163" s="59"/>
      <c r="C163" s="59"/>
      <c r="D163" s="59"/>
      <c r="E163" s="59"/>
      <c r="F163" s="59"/>
      <c r="G163" s="59"/>
      <c r="H163" s="61"/>
    </row>
    <row r="164" ht="14.25" customHeight="1">
      <c r="A164" s="59"/>
      <c r="B164" s="59"/>
      <c r="C164" s="59"/>
      <c r="D164" s="59"/>
      <c r="E164" s="59"/>
      <c r="F164" s="59"/>
      <c r="G164" s="59"/>
      <c r="H164" s="61"/>
    </row>
    <row r="165" ht="14.25" customHeight="1">
      <c r="A165" s="59"/>
      <c r="B165" s="59"/>
      <c r="C165" s="59"/>
      <c r="D165" s="59"/>
      <c r="E165" s="59"/>
      <c r="F165" s="59"/>
      <c r="G165" s="59"/>
      <c r="H165" s="61"/>
    </row>
    <row r="166" ht="14.25" customHeight="1">
      <c r="A166" s="59"/>
      <c r="B166" s="59"/>
      <c r="C166" s="59"/>
      <c r="D166" s="59"/>
      <c r="E166" s="59"/>
      <c r="F166" s="59"/>
      <c r="G166" s="59"/>
      <c r="H166" s="61"/>
    </row>
    <row r="167" ht="14.25" customHeight="1">
      <c r="A167" s="59"/>
      <c r="B167" s="59"/>
      <c r="C167" s="59"/>
      <c r="D167" s="59"/>
      <c r="E167" s="59"/>
      <c r="F167" s="59"/>
      <c r="G167" s="59"/>
      <c r="H167" s="61"/>
    </row>
    <row r="168" ht="14.25" customHeight="1">
      <c r="A168" s="59"/>
      <c r="B168" s="59"/>
      <c r="C168" s="59"/>
      <c r="D168" s="59"/>
      <c r="E168" s="59"/>
      <c r="F168" s="59"/>
      <c r="G168" s="59"/>
      <c r="H168" s="61"/>
    </row>
    <row r="169" ht="14.25" customHeight="1">
      <c r="A169" s="59"/>
      <c r="B169" s="59"/>
      <c r="C169" s="59"/>
      <c r="D169" s="59"/>
      <c r="E169" s="59"/>
      <c r="F169" s="59"/>
      <c r="G169" s="59"/>
      <c r="H169" s="61"/>
    </row>
    <row r="170" ht="14.25" customHeight="1">
      <c r="A170" s="59"/>
      <c r="B170" s="59"/>
      <c r="C170" s="59"/>
      <c r="D170" s="59"/>
      <c r="E170" s="59"/>
      <c r="F170" s="59"/>
      <c r="G170" s="59"/>
      <c r="H170" s="61"/>
    </row>
    <row r="171" ht="14.25" customHeight="1">
      <c r="A171" s="59"/>
      <c r="B171" s="59"/>
      <c r="C171" s="59"/>
      <c r="D171" s="59"/>
      <c r="E171" s="59"/>
      <c r="F171" s="59"/>
      <c r="G171" s="59"/>
      <c r="H171" s="61"/>
    </row>
    <row r="172" ht="14.25" customHeight="1">
      <c r="A172" s="59"/>
      <c r="B172" s="59"/>
      <c r="C172" s="59"/>
      <c r="D172" s="59"/>
      <c r="E172" s="59"/>
      <c r="F172" s="59"/>
      <c r="G172" s="59"/>
      <c r="H172" s="61"/>
    </row>
    <row r="173" ht="14.25" customHeight="1">
      <c r="A173" s="59"/>
      <c r="B173" s="59"/>
      <c r="C173" s="59"/>
      <c r="D173" s="59"/>
      <c r="E173" s="59"/>
      <c r="F173" s="59"/>
      <c r="G173" s="59"/>
      <c r="H173" s="61"/>
    </row>
    <row r="174" ht="14.25" customHeight="1">
      <c r="A174" s="59"/>
      <c r="B174" s="59"/>
      <c r="C174" s="59"/>
      <c r="D174" s="59"/>
      <c r="E174" s="59"/>
      <c r="F174" s="59"/>
      <c r="G174" s="59"/>
      <c r="H174" s="61"/>
    </row>
    <row r="175" ht="14.25" customHeight="1">
      <c r="A175" s="59"/>
      <c r="B175" s="59"/>
      <c r="C175" s="59"/>
      <c r="D175" s="59"/>
      <c r="E175" s="59"/>
      <c r="F175" s="59"/>
      <c r="G175" s="59"/>
      <c r="H175" s="61"/>
    </row>
    <row r="176" ht="14.25" customHeight="1">
      <c r="A176" s="59"/>
      <c r="B176" s="59"/>
      <c r="C176" s="59"/>
      <c r="D176" s="59"/>
      <c r="E176" s="59"/>
      <c r="F176" s="59"/>
      <c r="G176" s="59"/>
      <c r="H176" s="61"/>
    </row>
    <row r="177" ht="14.25" customHeight="1">
      <c r="A177" s="59"/>
      <c r="B177" s="59"/>
      <c r="C177" s="59"/>
      <c r="D177" s="59"/>
      <c r="E177" s="59"/>
      <c r="F177" s="59"/>
      <c r="G177" s="59"/>
      <c r="H177" s="61"/>
    </row>
    <row r="178" ht="14.25" customHeight="1">
      <c r="A178" s="59"/>
      <c r="B178" s="59"/>
      <c r="C178" s="59"/>
      <c r="D178" s="59"/>
      <c r="E178" s="59"/>
      <c r="F178" s="59"/>
      <c r="G178" s="59"/>
      <c r="H178" s="61"/>
    </row>
    <row r="179" ht="14.25" customHeight="1">
      <c r="A179" s="59"/>
      <c r="B179" s="59"/>
      <c r="C179" s="59"/>
      <c r="D179" s="59"/>
      <c r="E179" s="59"/>
      <c r="F179" s="59"/>
      <c r="G179" s="59"/>
      <c r="H179" s="61"/>
    </row>
    <row r="180" ht="14.25" customHeight="1">
      <c r="A180" s="59"/>
      <c r="B180" s="59"/>
      <c r="C180" s="59"/>
      <c r="D180" s="59"/>
      <c r="E180" s="59"/>
      <c r="F180" s="59"/>
      <c r="G180" s="59"/>
      <c r="H180" s="61"/>
    </row>
    <row r="181" ht="14.25" customHeight="1">
      <c r="A181" s="59"/>
      <c r="B181" s="59"/>
      <c r="C181" s="59"/>
      <c r="D181" s="59"/>
      <c r="E181" s="59"/>
      <c r="F181" s="59"/>
      <c r="G181" s="59"/>
      <c r="H181" s="61"/>
    </row>
    <row r="182" ht="14.25" customHeight="1">
      <c r="A182" s="59"/>
      <c r="B182" s="59"/>
      <c r="C182" s="59"/>
      <c r="D182" s="59"/>
      <c r="E182" s="59"/>
      <c r="F182" s="59"/>
      <c r="G182" s="59"/>
      <c r="H182" s="61"/>
    </row>
    <row r="183" ht="14.25" customHeight="1">
      <c r="A183" s="59"/>
      <c r="B183" s="59"/>
      <c r="C183" s="59"/>
      <c r="D183" s="59"/>
      <c r="E183" s="59"/>
      <c r="F183" s="59"/>
      <c r="G183" s="59"/>
      <c r="H183" s="61"/>
    </row>
    <row r="184" ht="14.25" customHeight="1">
      <c r="A184" s="59"/>
      <c r="B184" s="59"/>
      <c r="C184" s="59"/>
      <c r="D184" s="59"/>
      <c r="E184" s="59"/>
      <c r="F184" s="59"/>
      <c r="G184" s="59"/>
      <c r="H184" s="61"/>
    </row>
    <row r="185" ht="14.25" customHeight="1">
      <c r="A185" s="59"/>
      <c r="B185" s="59"/>
      <c r="C185" s="59"/>
      <c r="D185" s="59"/>
      <c r="E185" s="59"/>
      <c r="F185" s="59"/>
      <c r="G185" s="59"/>
      <c r="H185" s="61"/>
    </row>
    <row r="186" ht="14.25" customHeight="1">
      <c r="A186" s="59"/>
      <c r="B186" s="59"/>
      <c r="C186" s="59"/>
      <c r="D186" s="59"/>
      <c r="E186" s="59"/>
      <c r="F186" s="59"/>
      <c r="G186" s="59"/>
      <c r="H186" s="61"/>
    </row>
    <row r="187" ht="14.25" customHeight="1">
      <c r="A187" s="59"/>
      <c r="B187" s="59"/>
      <c r="C187" s="59"/>
      <c r="D187" s="59"/>
      <c r="E187" s="59"/>
      <c r="F187" s="59"/>
      <c r="G187" s="59"/>
      <c r="H187" s="61"/>
    </row>
    <row r="188" ht="14.25" customHeight="1">
      <c r="A188" s="59"/>
      <c r="B188" s="59"/>
      <c r="C188" s="59"/>
      <c r="D188" s="59"/>
      <c r="E188" s="59"/>
      <c r="F188" s="59"/>
      <c r="G188" s="59"/>
      <c r="H188" s="61"/>
    </row>
    <row r="189" ht="14.25" customHeight="1">
      <c r="A189" s="59"/>
      <c r="B189" s="59"/>
      <c r="C189" s="59"/>
      <c r="D189" s="59"/>
      <c r="E189" s="59"/>
      <c r="F189" s="59"/>
      <c r="G189" s="59"/>
      <c r="H189" s="61"/>
    </row>
    <row r="190" ht="14.25" customHeight="1">
      <c r="A190" s="59"/>
      <c r="B190" s="59"/>
      <c r="C190" s="59"/>
      <c r="D190" s="59"/>
      <c r="E190" s="59"/>
      <c r="F190" s="59"/>
      <c r="G190" s="59"/>
      <c r="H190" s="61"/>
    </row>
    <row r="191" ht="14.25" customHeight="1">
      <c r="A191" s="59"/>
      <c r="B191" s="59"/>
      <c r="C191" s="59"/>
      <c r="D191" s="59"/>
      <c r="E191" s="59"/>
      <c r="F191" s="59"/>
      <c r="G191" s="59"/>
      <c r="H191" s="61"/>
    </row>
    <row r="192" ht="14.25" customHeight="1">
      <c r="A192" s="59"/>
      <c r="B192" s="59"/>
      <c r="C192" s="59"/>
      <c r="D192" s="59"/>
      <c r="E192" s="59"/>
      <c r="F192" s="59"/>
      <c r="G192" s="59"/>
      <c r="H192" s="61"/>
    </row>
    <row r="193" ht="14.25" customHeight="1">
      <c r="A193" s="59"/>
      <c r="B193" s="59"/>
      <c r="C193" s="59"/>
      <c r="D193" s="59"/>
      <c r="E193" s="59"/>
      <c r="F193" s="59"/>
      <c r="G193" s="59"/>
      <c r="H193" s="61"/>
    </row>
    <row r="194" ht="14.25" customHeight="1">
      <c r="A194" s="59"/>
      <c r="B194" s="59"/>
      <c r="C194" s="59"/>
      <c r="D194" s="59"/>
      <c r="E194" s="59"/>
      <c r="F194" s="59"/>
      <c r="G194" s="59"/>
      <c r="H194" s="61"/>
    </row>
    <row r="195" ht="14.25" customHeight="1">
      <c r="A195" s="59"/>
      <c r="B195" s="59"/>
      <c r="C195" s="59"/>
      <c r="D195" s="59"/>
      <c r="E195" s="59"/>
      <c r="F195" s="59"/>
      <c r="G195" s="59"/>
      <c r="H195" s="61"/>
    </row>
    <row r="196" ht="14.25" customHeight="1">
      <c r="A196" s="59"/>
      <c r="B196" s="59"/>
      <c r="C196" s="59"/>
      <c r="D196" s="59"/>
      <c r="E196" s="59"/>
      <c r="F196" s="59"/>
      <c r="G196" s="59"/>
      <c r="H196" s="61"/>
    </row>
    <row r="197" ht="14.25" customHeight="1">
      <c r="A197" s="59"/>
      <c r="B197" s="59"/>
      <c r="C197" s="59"/>
      <c r="D197" s="59"/>
      <c r="E197" s="59"/>
      <c r="F197" s="59"/>
      <c r="G197" s="59"/>
      <c r="H197" s="61"/>
    </row>
    <row r="198" ht="14.25" customHeight="1">
      <c r="A198" s="59"/>
      <c r="B198" s="59"/>
      <c r="C198" s="59"/>
      <c r="D198" s="59"/>
      <c r="E198" s="59"/>
      <c r="F198" s="59"/>
      <c r="G198" s="59"/>
      <c r="H198" s="61"/>
    </row>
    <row r="199" ht="14.25" customHeight="1">
      <c r="A199" s="59"/>
      <c r="B199" s="59"/>
      <c r="C199" s="59"/>
      <c r="D199" s="59"/>
      <c r="E199" s="59"/>
      <c r="F199" s="59"/>
      <c r="G199" s="59"/>
      <c r="H199" s="61"/>
    </row>
    <row r="200" ht="14.25" customHeight="1">
      <c r="A200" s="59"/>
      <c r="B200" s="59"/>
      <c r="C200" s="59"/>
      <c r="D200" s="59"/>
      <c r="E200" s="59"/>
      <c r="F200" s="59"/>
      <c r="G200" s="59"/>
      <c r="H200" s="61"/>
    </row>
    <row r="201" ht="14.25" customHeight="1">
      <c r="A201" s="59"/>
      <c r="B201" s="59"/>
      <c r="C201" s="59"/>
      <c r="D201" s="59"/>
      <c r="E201" s="59"/>
      <c r="F201" s="59"/>
      <c r="G201" s="59"/>
      <c r="H201" s="61"/>
    </row>
    <row r="202" ht="14.25" customHeight="1">
      <c r="A202" s="59"/>
      <c r="B202" s="59"/>
      <c r="C202" s="59"/>
      <c r="D202" s="59"/>
      <c r="E202" s="59"/>
      <c r="F202" s="59"/>
      <c r="G202" s="59"/>
      <c r="H202" s="61"/>
    </row>
    <row r="203" ht="14.25" customHeight="1">
      <c r="A203" s="59"/>
      <c r="B203" s="59"/>
      <c r="C203" s="59"/>
      <c r="D203" s="59"/>
      <c r="E203" s="59"/>
      <c r="F203" s="59"/>
      <c r="G203" s="59"/>
      <c r="H203" s="61"/>
    </row>
    <row r="204" ht="14.25" customHeight="1">
      <c r="A204" s="59"/>
      <c r="B204" s="59"/>
      <c r="C204" s="59"/>
      <c r="D204" s="59"/>
      <c r="E204" s="59"/>
      <c r="F204" s="59"/>
      <c r="G204" s="59"/>
      <c r="H204" s="61"/>
    </row>
    <row r="205" ht="14.25" customHeight="1">
      <c r="A205" s="59"/>
      <c r="B205" s="59"/>
      <c r="C205" s="59"/>
      <c r="D205" s="59"/>
      <c r="E205" s="59"/>
      <c r="F205" s="59"/>
      <c r="G205" s="59"/>
      <c r="H205" s="61"/>
    </row>
    <row r="206" ht="14.25" customHeight="1">
      <c r="A206" s="59"/>
      <c r="B206" s="59"/>
      <c r="C206" s="59"/>
      <c r="D206" s="59"/>
      <c r="E206" s="59"/>
      <c r="F206" s="59"/>
      <c r="G206" s="59"/>
      <c r="H206" s="61"/>
    </row>
    <row r="207" ht="14.25" customHeight="1">
      <c r="A207" s="59"/>
      <c r="B207" s="59"/>
      <c r="C207" s="59"/>
      <c r="D207" s="59"/>
      <c r="E207" s="59"/>
      <c r="F207" s="59"/>
      <c r="G207" s="59"/>
      <c r="H207" s="61"/>
    </row>
    <row r="208" ht="14.25" customHeight="1">
      <c r="A208" s="59"/>
      <c r="B208" s="59"/>
      <c r="C208" s="59"/>
      <c r="D208" s="59"/>
      <c r="E208" s="59"/>
      <c r="F208" s="59"/>
      <c r="G208" s="59"/>
      <c r="H208" s="61"/>
    </row>
    <row r="209" ht="14.25" customHeight="1">
      <c r="A209" s="59"/>
      <c r="B209" s="59"/>
      <c r="C209" s="59"/>
      <c r="D209" s="59"/>
      <c r="E209" s="59"/>
      <c r="F209" s="59"/>
      <c r="G209" s="59"/>
      <c r="H209" s="61"/>
    </row>
    <row r="210" ht="14.25" customHeight="1">
      <c r="A210" s="59"/>
      <c r="B210" s="59"/>
      <c r="C210" s="59"/>
      <c r="D210" s="59"/>
      <c r="E210" s="59"/>
      <c r="F210" s="59"/>
      <c r="G210" s="59"/>
      <c r="H210" s="61"/>
    </row>
    <row r="211" ht="14.25" customHeight="1">
      <c r="A211" s="59"/>
      <c r="B211" s="59"/>
      <c r="C211" s="59"/>
      <c r="D211" s="59"/>
      <c r="E211" s="59"/>
      <c r="F211" s="59"/>
      <c r="G211" s="59"/>
      <c r="H211" s="61"/>
    </row>
    <row r="212" ht="14.25" customHeight="1">
      <c r="A212" s="59"/>
      <c r="B212" s="59"/>
      <c r="C212" s="59"/>
      <c r="D212" s="59"/>
      <c r="E212" s="59"/>
      <c r="F212" s="59"/>
      <c r="G212" s="59"/>
      <c r="H212" s="61"/>
    </row>
    <row r="213" ht="14.25" customHeight="1">
      <c r="A213" s="59"/>
      <c r="B213" s="59"/>
      <c r="C213" s="59"/>
      <c r="D213" s="59"/>
      <c r="E213" s="59"/>
      <c r="F213" s="59"/>
      <c r="G213" s="59"/>
      <c r="H213" s="61"/>
    </row>
    <row r="214" ht="14.25" customHeight="1">
      <c r="A214" s="59"/>
      <c r="B214" s="59"/>
      <c r="C214" s="59"/>
      <c r="D214" s="59"/>
      <c r="E214" s="59"/>
      <c r="F214" s="59"/>
      <c r="G214" s="59"/>
      <c r="H214" s="61"/>
    </row>
    <row r="215" ht="14.25" customHeight="1">
      <c r="A215" s="59"/>
      <c r="B215" s="59"/>
      <c r="C215" s="59"/>
      <c r="D215" s="59"/>
      <c r="E215" s="59"/>
      <c r="F215" s="59"/>
      <c r="G215" s="59"/>
      <c r="H215" s="61"/>
    </row>
    <row r="216" ht="14.25" customHeight="1">
      <c r="A216" s="59"/>
      <c r="B216" s="59"/>
      <c r="C216" s="59"/>
      <c r="D216" s="59"/>
      <c r="E216" s="59"/>
      <c r="F216" s="59"/>
      <c r="G216" s="59"/>
      <c r="H216" s="61"/>
    </row>
    <row r="217" ht="14.25" customHeight="1">
      <c r="A217" s="59"/>
      <c r="B217" s="59"/>
      <c r="C217" s="59"/>
      <c r="D217" s="59"/>
      <c r="E217" s="59"/>
      <c r="F217" s="59"/>
      <c r="G217" s="59"/>
      <c r="H217" s="61"/>
    </row>
    <row r="218" ht="14.25" customHeight="1">
      <c r="A218" s="59"/>
      <c r="B218" s="59"/>
      <c r="C218" s="59"/>
      <c r="D218" s="59"/>
      <c r="E218" s="59"/>
      <c r="F218" s="59"/>
      <c r="G218" s="59"/>
      <c r="H218" s="61"/>
    </row>
    <row r="219" ht="14.25" customHeight="1">
      <c r="A219" s="59"/>
      <c r="B219" s="59"/>
      <c r="C219" s="59"/>
      <c r="D219" s="59"/>
      <c r="E219" s="59"/>
      <c r="F219" s="59"/>
      <c r="G219" s="59"/>
      <c r="H219" s="61"/>
    </row>
    <row r="220" ht="14.25" customHeight="1">
      <c r="A220" s="59"/>
      <c r="B220" s="59"/>
      <c r="C220" s="59"/>
      <c r="D220" s="59"/>
      <c r="E220" s="59"/>
      <c r="F220" s="59"/>
      <c r="G220" s="59"/>
      <c r="H220" s="61"/>
    </row>
    <row r="221" ht="14.25" customHeight="1">
      <c r="A221" s="59"/>
      <c r="B221" s="59"/>
      <c r="C221" s="59"/>
      <c r="D221" s="59"/>
      <c r="E221" s="59"/>
      <c r="F221" s="59"/>
      <c r="G221" s="59"/>
      <c r="H221" s="61"/>
    </row>
    <row r="222" ht="14.25" customHeight="1">
      <c r="A222" s="59"/>
      <c r="B222" s="59"/>
      <c r="C222" s="59"/>
      <c r="D222" s="59"/>
      <c r="E222" s="59"/>
      <c r="F222" s="59"/>
      <c r="G222" s="59"/>
      <c r="H222" s="61"/>
    </row>
    <row r="223" ht="14.25" customHeight="1">
      <c r="A223" s="59"/>
      <c r="B223" s="59"/>
      <c r="C223" s="59"/>
      <c r="D223" s="59"/>
      <c r="E223" s="59"/>
      <c r="F223" s="59"/>
      <c r="G223" s="59"/>
      <c r="H223" s="61"/>
    </row>
    <row r="224" ht="14.25" customHeight="1">
      <c r="A224" s="59"/>
      <c r="B224" s="59"/>
      <c r="C224" s="59"/>
      <c r="D224" s="59"/>
      <c r="E224" s="59"/>
      <c r="F224" s="59"/>
      <c r="G224" s="59"/>
      <c r="H224" s="61"/>
    </row>
    <row r="225" ht="14.25" customHeight="1">
      <c r="A225" s="59"/>
      <c r="B225" s="59"/>
      <c r="C225" s="59"/>
      <c r="D225" s="59"/>
      <c r="E225" s="59"/>
      <c r="F225" s="59"/>
      <c r="G225" s="59"/>
      <c r="H225" s="61"/>
    </row>
    <row r="226" ht="14.25" customHeight="1">
      <c r="A226" s="59"/>
      <c r="B226" s="59"/>
      <c r="C226" s="59"/>
      <c r="D226" s="59"/>
      <c r="E226" s="59"/>
      <c r="F226" s="59"/>
      <c r="G226" s="59"/>
      <c r="H226" s="61"/>
    </row>
    <row r="227" ht="14.25" customHeight="1">
      <c r="A227" s="59"/>
      <c r="B227" s="59"/>
      <c r="C227" s="59"/>
      <c r="D227" s="59"/>
      <c r="E227" s="59"/>
      <c r="F227" s="59"/>
      <c r="G227" s="59"/>
      <c r="H227" s="61"/>
    </row>
    <row r="228" ht="14.25" customHeight="1">
      <c r="A228" s="59"/>
      <c r="B228" s="59"/>
      <c r="C228" s="59"/>
      <c r="D228" s="59"/>
      <c r="E228" s="59"/>
      <c r="F228" s="59"/>
      <c r="G228" s="59"/>
      <c r="H228" s="61"/>
    </row>
    <row r="229" ht="14.25" customHeight="1">
      <c r="A229" s="59"/>
      <c r="B229" s="59"/>
      <c r="C229" s="59"/>
      <c r="D229" s="59"/>
      <c r="E229" s="59"/>
      <c r="F229" s="59"/>
      <c r="G229" s="59"/>
      <c r="H229" s="61"/>
    </row>
    <row r="230" ht="14.25" customHeight="1">
      <c r="A230" s="59"/>
      <c r="B230" s="59"/>
      <c r="C230" s="59"/>
      <c r="D230" s="59"/>
      <c r="E230" s="59"/>
      <c r="F230" s="59"/>
      <c r="G230" s="59"/>
      <c r="H230" s="61"/>
    </row>
    <row r="231" ht="14.25" customHeight="1">
      <c r="A231" s="59"/>
      <c r="B231" s="59"/>
      <c r="C231" s="59"/>
      <c r="D231" s="59"/>
      <c r="E231" s="59"/>
      <c r="F231" s="59"/>
      <c r="G231" s="59"/>
      <c r="H231" s="61"/>
    </row>
    <row r="232" ht="14.25" customHeight="1">
      <c r="A232" s="59"/>
      <c r="B232" s="59"/>
      <c r="C232" s="59"/>
      <c r="D232" s="59"/>
      <c r="E232" s="59"/>
      <c r="F232" s="59"/>
      <c r="G232" s="59"/>
      <c r="H232" s="61"/>
    </row>
    <row r="233" ht="14.25" customHeight="1">
      <c r="A233" s="59"/>
      <c r="B233" s="59"/>
      <c r="C233" s="59"/>
      <c r="D233" s="59"/>
      <c r="E233" s="59"/>
      <c r="F233" s="59"/>
      <c r="G233" s="59"/>
      <c r="H233" s="61"/>
    </row>
    <row r="234" ht="14.25" customHeight="1">
      <c r="A234" s="59"/>
      <c r="B234" s="59"/>
      <c r="C234" s="59"/>
      <c r="D234" s="59"/>
      <c r="E234" s="59"/>
      <c r="F234" s="59"/>
      <c r="G234" s="59"/>
      <c r="H234" s="61"/>
    </row>
    <row r="235" ht="14.25" customHeight="1">
      <c r="A235" s="59"/>
      <c r="B235" s="59"/>
      <c r="C235" s="59"/>
      <c r="D235" s="59"/>
      <c r="E235" s="59"/>
      <c r="F235" s="59"/>
      <c r="G235" s="59"/>
      <c r="H235" s="61"/>
    </row>
    <row r="236" ht="14.25" customHeight="1">
      <c r="A236" s="59"/>
      <c r="B236" s="59"/>
      <c r="C236" s="59"/>
      <c r="D236" s="59"/>
      <c r="E236" s="59"/>
      <c r="F236" s="59"/>
      <c r="G236" s="59"/>
      <c r="H236" s="61"/>
    </row>
    <row r="237" ht="14.25" customHeight="1">
      <c r="A237" s="59"/>
      <c r="B237" s="59"/>
      <c r="C237" s="59"/>
      <c r="D237" s="59"/>
      <c r="E237" s="59"/>
      <c r="F237" s="59"/>
      <c r="G237" s="59"/>
      <c r="H237" s="61"/>
    </row>
    <row r="238" ht="14.25" customHeight="1">
      <c r="A238" s="59"/>
      <c r="B238" s="59"/>
      <c r="C238" s="59"/>
      <c r="D238" s="59"/>
      <c r="E238" s="59"/>
      <c r="F238" s="59"/>
      <c r="G238" s="59"/>
      <c r="H238" s="61"/>
    </row>
    <row r="239" ht="14.25" customHeight="1">
      <c r="A239" s="59"/>
      <c r="B239" s="59"/>
      <c r="C239" s="59"/>
      <c r="D239" s="59"/>
      <c r="E239" s="59"/>
      <c r="F239" s="59"/>
      <c r="G239" s="59"/>
      <c r="H239" s="61"/>
    </row>
    <row r="240" ht="14.25" customHeight="1">
      <c r="A240" s="59"/>
      <c r="B240" s="59"/>
      <c r="C240" s="59"/>
      <c r="D240" s="59"/>
      <c r="E240" s="59"/>
      <c r="F240" s="59"/>
      <c r="G240" s="59"/>
      <c r="H240" s="61"/>
    </row>
    <row r="241" ht="14.25" customHeight="1">
      <c r="A241" s="59"/>
      <c r="B241" s="59"/>
      <c r="C241" s="59"/>
      <c r="D241" s="59"/>
      <c r="E241" s="59"/>
      <c r="F241" s="59"/>
      <c r="G241" s="59"/>
      <c r="H241" s="61"/>
    </row>
    <row r="242" ht="14.25" customHeight="1">
      <c r="A242" s="59"/>
      <c r="B242" s="59"/>
      <c r="C242" s="59"/>
      <c r="D242" s="59"/>
      <c r="E242" s="59"/>
      <c r="F242" s="59"/>
      <c r="G242" s="59"/>
      <c r="H242" s="61"/>
    </row>
    <row r="243" ht="14.25" customHeight="1">
      <c r="A243" s="59"/>
      <c r="B243" s="59"/>
      <c r="C243" s="59"/>
      <c r="D243" s="59"/>
      <c r="E243" s="59"/>
      <c r="F243" s="59"/>
      <c r="G243" s="59"/>
      <c r="H243" s="61"/>
    </row>
    <row r="244" ht="14.25" customHeight="1">
      <c r="A244" s="59"/>
      <c r="B244" s="59"/>
      <c r="C244" s="59"/>
      <c r="D244" s="59"/>
      <c r="E244" s="59"/>
      <c r="F244" s="59"/>
      <c r="G244" s="59"/>
      <c r="H244" s="61"/>
    </row>
    <row r="245" ht="14.25" customHeight="1">
      <c r="A245" s="59"/>
      <c r="B245" s="59"/>
      <c r="C245" s="59"/>
      <c r="D245" s="59"/>
      <c r="E245" s="59"/>
      <c r="F245" s="59"/>
      <c r="G245" s="59"/>
      <c r="H245" s="61"/>
    </row>
    <row r="246" ht="14.25" customHeight="1">
      <c r="A246" s="59"/>
      <c r="B246" s="59"/>
      <c r="C246" s="59"/>
      <c r="D246" s="59"/>
      <c r="E246" s="59"/>
      <c r="F246" s="59"/>
      <c r="G246" s="59"/>
      <c r="H246" s="61"/>
    </row>
    <row r="247" ht="14.25" customHeight="1">
      <c r="A247" s="59"/>
      <c r="B247" s="59"/>
      <c r="C247" s="59"/>
      <c r="D247" s="59"/>
      <c r="E247" s="59"/>
      <c r="F247" s="59"/>
      <c r="G247" s="59"/>
      <c r="H247" s="61"/>
    </row>
    <row r="248" ht="14.25" customHeight="1">
      <c r="A248" s="59"/>
      <c r="B248" s="59"/>
      <c r="C248" s="59"/>
      <c r="D248" s="59"/>
      <c r="E248" s="59"/>
      <c r="F248" s="59"/>
      <c r="G248" s="59"/>
      <c r="H248" s="61"/>
    </row>
    <row r="249" ht="14.25" customHeight="1">
      <c r="A249" s="59"/>
      <c r="B249" s="59"/>
      <c r="C249" s="59"/>
      <c r="D249" s="59"/>
      <c r="E249" s="59"/>
      <c r="F249" s="59"/>
      <c r="G249" s="59"/>
      <c r="H249" s="61"/>
    </row>
    <row r="250" ht="14.25" customHeight="1">
      <c r="A250" s="59"/>
      <c r="B250" s="59"/>
      <c r="C250" s="59"/>
      <c r="D250" s="59"/>
      <c r="E250" s="59"/>
      <c r="F250" s="59"/>
      <c r="G250" s="59"/>
      <c r="H250" s="61"/>
    </row>
    <row r="251" ht="14.25" customHeight="1">
      <c r="A251" s="59"/>
      <c r="B251" s="59"/>
      <c r="C251" s="59"/>
      <c r="D251" s="59"/>
      <c r="E251" s="59"/>
      <c r="F251" s="59"/>
      <c r="G251" s="59"/>
      <c r="H251" s="61"/>
    </row>
    <row r="252" ht="14.25" customHeight="1">
      <c r="A252" s="59"/>
      <c r="B252" s="59"/>
      <c r="C252" s="59"/>
      <c r="D252" s="59"/>
      <c r="E252" s="59"/>
      <c r="F252" s="59"/>
      <c r="G252" s="59"/>
      <c r="H252" s="61"/>
    </row>
    <row r="253" ht="14.25" customHeight="1">
      <c r="A253" s="59"/>
      <c r="B253" s="59"/>
      <c r="C253" s="59"/>
      <c r="D253" s="59"/>
      <c r="E253" s="59"/>
      <c r="F253" s="59"/>
      <c r="G253" s="59"/>
      <c r="H253" s="61"/>
    </row>
    <row r="254" ht="14.25" customHeight="1">
      <c r="A254" s="59"/>
      <c r="B254" s="59"/>
      <c r="C254" s="59"/>
      <c r="D254" s="59"/>
      <c r="E254" s="59"/>
      <c r="F254" s="59"/>
      <c r="G254" s="59"/>
      <c r="H254" s="61"/>
    </row>
    <row r="255" ht="14.25" customHeight="1">
      <c r="A255" s="59"/>
      <c r="B255" s="59"/>
      <c r="C255" s="59"/>
      <c r="D255" s="59"/>
      <c r="E255" s="59"/>
      <c r="F255" s="59"/>
      <c r="G255" s="59"/>
      <c r="H255" s="61"/>
    </row>
    <row r="256" ht="14.25" customHeight="1">
      <c r="A256" s="59"/>
      <c r="B256" s="59"/>
      <c r="C256" s="59"/>
      <c r="D256" s="59"/>
      <c r="E256" s="59"/>
      <c r="F256" s="59"/>
      <c r="G256" s="59"/>
      <c r="H256" s="61"/>
    </row>
    <row r="257" ht="14.25" customHeight="1">
      <c r="A257" s="59"/>
      <c r="B257" s="59"/>
      <c r="C257" s="59"/>
      <c r="D257" s="59"/>
      <c r="E257" s="59"/>
      <c r="F257" s="59"/>
      <c r="G257" s="59"/>
      <c r="H257" s="61"/>
    </row>
    <row r="258" ht="14.25" customHeight="1">
      <c r="A258" s="59"/>
      <c r="B258" s="59"/>
      <c r="C258" s="59"/>
      <c r="D258" s="59"/>
      <c r="E258" s="59"/>
      <c r="F258" s="59"/>
      <c r="G258" s="59"/>
      <c r="H258" s="61"/>
    </row>
    <row r="259" ht="14.25" customHeight="1">
      <c r="A259" s="59"/>
      <c r="B259" s="59"/>
      <c r="C259" s="59"/>
      <c r="D259" s="59"/>
      <c r="E259" s="59"/>
      <c r="F259" s="59"/>
      <c r="G259" s="59"/>
      <c r="H259" s="61"/>
    </row>
    <row r="260" ht="14.25" customHeight="1">
      <c r="A260" s="59"/>
      <c r="B260" s="59"/>
      <c r="C260" s="59"/>
      <c r="D260" s="59"/>
      <c r="E260" s="59"/>
      <c r="F260" s="59"/>
      <c r="G260" s="59"/>
      <c r="H260" s="61"/>
    </row>
    <row r="261" ht="14.25" customHeight="1">
      <c r="A261" s="59"/>
      <c r="B261" s="59"/>
      <c r="C261" s="59"/>
      <c r="D261" s="59"/>
      <c r="E261" s="59"/>
      <c r="F261" s="59"/>
      <c r="G261" s="59"/>
      <c r="H261" s="61"/>
    </row>
    <row r="262" ht="14.25" customHeight="1">
      <c r="A262" s="59"/>
      <c r="B262" s="59"/>
      <c r="C262" s="59"/>
      <c r="D262" s="59"/>
      <c r="E262" s="59"/>
      <c r="F262" s="59"/>
      <c r="G262" s="59"/>
      <c r="H262" s="61"/>
    </row>
    <row r="263" ht="14.25" customHeight="1">
      <c r="A263" s="59"/>
      <c r="B263" s="59"/>
      <c r="C263" s="59"/>
      <c r="D263" s="59"/>
      <c r="E263" s="59"/>
      <c r="F263" s="59"/>
      <c r="G263" s="59"/>
      <c r="H263" s="61"/>
    </row>
    <row r="264" ht="14.25" customHeight="1">
      <c r="A264" s="59"/>
      <c r="B264" s="59"/>
      <c r="C264" s="59"/>
      <c r="D264" s="59"/>
      <c r="E264" s="59"/>
      <c r="F264" s="59"/>
      <c r="G264" s="59"/>
      <c r="H264" s="61"/>
    </row>
    <row r="265" ht="14.25" customHeight="1">
      <c r="A265" s="59"/>
      <c r="B265" s="59"/>
      <c r="C265" s="59"/>
      <c r="D265" s="59"/>
      <c r="E265" s="59"/>
      <c r="F265" s="59"/>
      <c r="G265" s="59"/>
      <c r="H265" s="61"/>
    </row>
    <row r="266" ht="14.25" customHeight="1">
      <c r="A266" s="59"/>
      <c r="B266" s="59"/>
      <c r="C266" s="59"/>
      <c r="D266" s="59"/>
      <c r="E266" s="59"/>
      <c r="F266" s="59"/>
      <c r="G266" s="59"/>
      <c r="H266" s="61"/>
    </row>
    <row r="267" ht="14.25" customHeight="1">
      <c r="A267" s="59"/>
      <c r="B267" s="59"/>
      <c r="C267" s="59"/>
      <c r="D267" s="59"/>
      <c r="E267" s="59"/>
      <c r="F267" s="59"/>
      <c r="G267" s="59"/>
      <c r="H267" s="61"/>
    </row>
    <row r="268" ht="14.25" customHeight="1">
      <c r="A268" s="59"/>
      <c r="B268" s="59"/>
      <c r="C268" s="59"/>
      <c r="D268" s="59"/>
      <c r="E268" s="59"/>
      <c r="F268" s="59"/>
      <c r="G268" s="59"/>
      <c r="H268" s="61"/>
    </row>
    <row r="269" ht="14.25" customHeight="1">
      <c r="A269" s="59"/>
      <c r="B269" s="59"/>
      <c r="C269" s="59"/>
      <c r="D269" s="59"/>
      <c r="E269" s="59"/>
      <c r="F269" s="59"/>
      <c r="G269" s="59"/>
      <c r="H269" s="61"/>
    </row>
    <row r="270" ht="14.25" customHeight="1">
      <c r="A270" s="59"/>
      <c r="B270" s="59"/>
      <c r="C270" s="59"/>
      <c r="D270" s="59"/>
      <c r="E270" s="59"/>
      <c r="F270" s="59"/>
      <c r="G270" s="59"/>
      <c r="H270" s="61"/>
    </row>
    <row r="271" ht="14.25" customHeight="1">
      <c r="A271" s="59"/>
      <c r="B271" s="59"/>
      <c r="C271" s="59"/>
      <c r="D271" s="59"/>
      <c r="E271" s="59"/>
      <c r="F271" s="59"/>
      <c r="G271" s="59"/>
      <c r="H271" s="61"/>
    </row>
    <row r="272" ht="14.25" customHeight="1">
      <c r="A272" s="59"/>
      <c r="B272" s="59"/>
      <c r="C272" s="59"/>
      <c r="D272" s="59"/>
      <c r="E272" s="59"/>
      <c r="F272" s="59"/>
      <c r="G272" s="59"/>
      <c r="H272" s="61"/>
    </row>
    <row r="273" ht="14.25" customHeight="1">
      <c r="A273" s="59"/>
      <c r="B273" s="59"/>
      <c r="C273" s="59"/>
      <c r="D273" s="59"/>
      <c r="E273" s="59"/>
      <c r="F273" s="59"/>
      <c r="G273" s="59"/>
      <c r="H273" s="61"/>
    </row>
    <row r="274" ht="14.25" customHeight="1">
      <c r="A274" s="59"/>
      <c r="B274" s="59"/>
      <c r="C274" s="59"/>
      <c r="D274" s="59"/>
      <c r="E274" s="59"/>
      <c r="F274" s="59"/>
      <c r="G274" s="59"/>
      <c r="H274" s="61"/>
    </row>
    <row r="275" ht="14.25" customHeight="1">
      <c r="A275" s="59"/>
      <c r="B275" s="59"/>
      <c r="C275" s="59"/>
      <c r="D275" s="59"/>
      <c r="E275" s="59"/>
      <c r="F275" s="59"/>
      <c r="G275" s="59"/>
      <c r="H275" s="61"/>
    </row>
    <row r="276" ht="14.25" customHeight="1">
      <c r="A276" s="59"/>
      <c r="B276" s="59"/>
      <c r="C276" s="59"/>
      <c r="D276" s="59"/>
      <c r="E276" s="59"/>
      <c r="F276" s="59"/>
      <c r="G276" s="59"/>
      <c r="H276" s="61"/>
    </row>
    <row r="277" ht="14.25" customHeight="1">
      <c r="A277" s="59"/>
      <c r="B277" s="59"/>
      <c r="C277" s="59"/>
      <c r="D277" s="59"/>
      <c r="E277" s="59"/>
      <c r="F277" s="59"/>
      <c r="G277" s="59"/>
      <c r="H277" s="61"/>
    </row>
    <row r="278" ht="14.25" customHeight="1">
      <c r="A278" s="59"/>
      <c r="B278" s="59"/>
      <c r="C278" s="59"/>
      <c r="D278" s="59"/>
      <c r="E278" s="59"/>
      <c r="F278" s="59"/>
      <c r="G278" s="59"/>
      <c r="H278" s="61"/>
    </row>
    <row r="279" ht="14.25" customHeight="1">
      <c r="A279" s="59"/>
      <c r="B279" s="59"/>
      <c r="C279" s="59"/>
      <c r="D279" s="59"/>
      <c r="E279" s="59"/>
      <c r="F279" s="59"/>
      <c r="G279" s="59"/>
      <c r="H279" s="61"/>
    </row>
    <row r="280" ht="14.25" customHeight="1">
      <c r="A280" s="59"/>
      <c r="B280" s="59"/>
      <c r="C280" s="59"/>
      <c r="D280" s="59"/>
      <c r="E280" s="59"/>
      <c r="F280" s="59"/>
      <c r="G280" s="59"/>
      <c r="H280" s="61"/>
    </row>
    <row r="281" ht="14.25" customHeight="1">
      <c r="A281" s="59"/>
      <c r="B281" s="59"/>
      <c r="C281" s="59"/>
      <c r="D281" s="59"/>
      <c r="E281" s="59"/>
      <c r="F281" s="59"/>
      <c r="G281" s="59"/>
      <c r="H281" s="61"/>
    </row>
    <row r="282" ht="14.25" customHeight="1">
      <c r="A282" s="59"/>
      <c r="B282" s="59"/>
      <c r="C282" s="59"/>
      <c r="D282" s="59"/>
      <c r="E282" s="59"/>
      <c r="F282" s="59"/>
      <c r="G282" s="59"/>
      <c r="H282" s="61"/>
    </row>
    <row r="283" ht="14.25" customHeight="1">
      <c r="A283" s="59"/>
      <c r="B283" s="59"/>
      <c r="C283" s="59"/>
      <c r="D283" s="59"/>
      <c r="E283" s="59"/>
      <c r="F283" s="59"/>
      <c r="G283" s="59"/>
      <c r="H283" s="61"/>
    </row>
    <row r="284" ht="14.25" customHeight="1">
      <c r="A284" s="59"/>
      <c r="B284" s="59"/>
      <c r="C284" s="59"/>
      <c r="D284" s="59"/>
      <c r="E284" s="59"/>
      <c r="F284" s="59"/>
      <c r="G284" s="59"/>
      <c r="H284" s="61"/>
    </row>
    <row r="285" ht="14.25" customHeight="1">
      <c r="A285" s="59"/>
      <c r="B285" s="59"/>
      <c r="C285" s="59"/>
      <c r="D285" s="59"/>
      <c r="E285" s="59"/>
      <c r="F285" s="59"/>
      <c r="G285" s="59"/>
      <c r="H285" s="61"/>
    </row>
    <row r="286" ht="14.25" customHeight="1">
      <c r="A286" s="59"/>
      <c r="B286" s="59"/>
      <c r="C286" s="59"/>
      <c r="D286" s="59"/>
      <c r="E286" s="59"/>
      <c r="F286" s="59"/>
      <c r="G286" s="59"/>
      <c r="H286" s="61"/>
    </row>
    <row r="287" ht="14.25" customHeight="1">
      <c r="A287" s="59"/>
      <c r="B287" s="59"/>
      <c r="C287" s="59"/>
      <c r="D287" s="59"/>
      <c r="E287" s="59"/>
      <c r="F287" s="59"/>
      <c r="G287" s="59"/>
      <c r="H287" s="61"/>
    </row>
    <row r="288" ht="14.25" customHeight="1">
      <c r="A288" s="59"/>
      <c r="B288" s="59"/>
      <c r="C288" s="59"/>
      <c r="D288" s="59"/>
      <c r="E288" s="59"/>
      <c r="F288" s="59"/>
      <c r="G288" s="59"/>
      <c r="H288" s="61"/>
    </row>
    <row r="289" ht="14.25" customHeight="1">
      <c r="A289" s="59"/>
      <c r="B289" s="59"/>
      <c r="C289" s="59"/>
      <c r="D289" s="59"/>
      <c r="E289" s="59"/>
      <c r="F289" s="59"/>
      <c r="G289" s="59"/>
      <c r="H289" s="61"/>
    </row>
    <row r="290" ht="14.25" customHeight="1">
      <c r="A290" s="59"/>
      <c r="B290" s="59"/>
      <c r="C290" s="59"/>
      <c r="D290" s="59"/>
      <c r="E290" s="59"/>
      <c r="F290" s="59"/>
      <c r="G290" s="59"/>
      <c r="H290" s="61"/>
    </row>
    <row r="291" ht="14.25" customHeight="1">
      <c r="A291" s="59"/>
      <c r="B291" s="59"/>
      <c r="C291" s="59"/>
      <c r="D291" s="59"/>
      <c r="E291" s="59"/>
      <c r="F291" s="59"/>
      <c r="G291" s="59"/>
      <c r="H291" s="61"/>
    </row>
    <row r="292" ht="14.25" customHeight="1">
      <c r="A292" s="59"/>
      <c r="B292" s="59"/>
      <c r="C292" s="59"/>
      <c r="D292" s="59"/>
      <c r="E292" s="59"/>
      <c r="F292" s="59"/>
      <c r="G292" s="59"/>
      <c r="H292" s="61"/>
    </row>
    <row r="293" ht="14.25" customHeight="1">
      <c r="A293" s="59"/>
      <c r="B293" s="59"/>
      <c r="C293" s="59"/>
      <c r="D293" s="59"/>
      <c r="E293" s="59"/>
      <c r="F293" s="59"/>
      <c r="G293" s="59"/>
      <c r="H293" s="61"/>
    </row>
    <row r="294" ht="14.25" customHeight="1">
      <c r="A294" s="59"/>
      <c r="B294" s="59"/>
      <c r="C294" s="59"/>
      <c r="D294" s="59"/>
      <c r="E294" s="59"/>
      <c r="F294" s="59"/>
      <c r="G294" s="59"/>
      <c r="H294" s="61"/>
    </row>
    <row r="295" ht="14.25" customHeight="1">
      <c r="A295" s="59"/>
      <c r="B295" s="59"/>
      <c r="C295" s="59"/>
      <c r="D295" s="59"/>
      <c r="E295" s="59"/>
      <c r="F295" s="59"/>
      <c r="G295" s="59"/>
      <c r="H295" s="61"/>
    </row>
    <row r="296" ht="14.25" customHeight="1">
      <c r="A296" s="59"/>
      <c r="B296" s="59"/>
      <c r="C296" s="59"/>
      <c r="D296" s="59"/>
      <c r="E296" s="59"/>
      <c r="F296" s="59"/>
      <c r="G296" s="59"/>
      <c r="H296" s="61"/>
    </row>
    <row r="297" ht="14.25" customHeight="1">
      <c r="A297" s="59"/>
      <c r="B297" s="59"/>
      <c r="C297" s="59"/>
      <c r="D297" s="59"/>
      <c r="E297" s="59"/>
      <c r="F297" s="59"/>
      <c r="G297" s="59"/>
      <c r="H297" s="61"/>
    </row>
    <row r="298" ht="14.25" customHeight="1">
      <c r="A298" s="59"/>
      <c r="B298" s="59"/>
      <c r="C298" s="59"/>
      <c r="D298" s="59"/>
      <c r="E298" s="59"/>
      <c r="F298" s="59"/>
      <c r="G298" s="59"/>
      <c r="H298" s="61"/>
    </row>
    <row r="299" ht="14.25" customHeight="1">
      <c r="A299" s="59"/>
      <c r="B299" s="59"/>
      <c r="C299" s="59"/>
      <c r="D299" s="59"/>
      <c r="E299" s="59"/>
      <c r="F299" s="59"/>
      <c r="G299" s="59"/>
      <c r="H299" s="61"/>
    </row>
    <row r="300" ht="14.25" customHeight="1">
      <c r="A300" s="59"/>
      <c r="B300" s="59"/>
      <c r="C300" s="59"/>
      <c r="D300" s="59"/>
      <c r="E300" s="59"/>
      <c r="F300" s="59"/>
      <c r="G300" s="59"/>
      <c r="H300" s="61"/>
    </row>
    <row r="301" ht="14.25" customHeight="1">
      <c r="A301" s="59"/>
      <c r="B301" s="59"/>
      <c r="C301" s="59"/>
      <c r="D301" s="59"/>
      <c r="E301" s="59"/>
      <c r="F301" s="59"/>
      <c r="G301" s="59"/>
      <c r="H301" s="61"/>
    </row>
    <row r="302" ht="14.25" customHeight="1">
      <c r="A302" s="59"/>
      <c r="B302" s="59"/>
      <c r="C302" s="59"/>
      <c r="D302" s="59"/>
      <c r="E302" s="59"/>
      <c r="F302" s="59"/>
      <c r="G302" s="59"/>
      <c r="H302" s="61"/>
    </row>
    <row r="303" ht="14.25" customHeight="1">
      <c r="A303" s="59"/>
      <c r="B303" s="59"/>
      <c r="C303" s="59"/>
      <c r="D303" s="59"/>
      <c r="E303" s="59"/>
      <c r="F303" s="59"/>
      <c r="G303" s="59"/>
      <c r="H303" s="61"/>
    </row>
    <row r="304" ht="14.25" customHeight="1">
      <c r="A304" s="59"/>
      <c r="B304" s="59"/>
      <c r="C304" s="59"/>
      <c r="D304" s="59"/>
      <c r="E304" s="59"/>
      <c r="F304" s="59"/>
      <c r="G304" s="59"/>
      <c r="H304" s="61"/>
    </row>
    <row r="305" ht="14.25" customHeight="1">
      <c r="A305" s="59"/>
      <c r="B305" s="59"/>
      <c r="C305" s="59"/>
      <c r="D305" s="59"/>
      <c r="E305" s="59"/>
      <c r="F305" s="59"/>
      <c r="G305" s="59"/>
      <c r="H305" s="61"/>
    </row>
    <row r="306" ht="14.25" customHeight="1">
      <c r="A306" s="59"/>
      <c r="B306" s="59"/>
      <c r="C306" s="59"/>
      <c r="D306" s="59"/>
      <c r="E306" s="59"/>
      <c r="F306" s="59"/>
      <c r="G306" s="59"/>
      <c r="H306" s="61"/>
    </row>
    <row r="307" ht="14.25" customHeight="1">
      <c r="A307" s="59"/>
      <c r="B307" s="59"/>
      <c r="C307" s="59"/>
      <c r="D307" s="59"/>
      <c r="E307" s="59"/>
      <c r="F307" s="59"/>
      <c r="G307" s="59"/>
      <c r="H307" s="61"/>
    </row>
    <row r="308" ht="14.25" customHeight="1">
      <c r="A308" s="59"/>
      <c r="B308" s="59"/>
      <c r="C308" s="59"/>
      <c r="D308" s="59"/>
      <c r="E308" s="59"/>
      <c r="F308" s="59"/>
      <c r="G308" s="59"/>
      <c r="H308" s="61"/>
    </row>
    <row r="309" ht="14.25" customHeight="1">
      <c r="A309" s="59"/>
      <c r="B309" s="59"/>
      <c r="C309" s="59"/>
      <c r="D309" s="59"/>
      <c r="E309" s="59"/>
      <c r="F309" s="59"/>
      <c r="G309" s="59"/>
      <c r="H309" s="61"/>
    </row>
    <row r="310" ht="14.25" customHeight="1">
      <c r="A310" s="59"/>
      <c r="B310" s="59"/>
      <c r="C310" s="59"/>
      <c r="D310" s="59"/>
      <c r="E310" s="59"/>
      <c r="F310" s="59"/>
      <c r="G310" s="59"/>
      <c r="H310" s="61"/>
    </row>
    <row r="311" ht="14.25" customHeight="1">
      <c r="A311" s="59"/>
      <c r="B311" s="59"/>
      <c r="C311" s="59"/>
      <c r="D311" s="59"/>
      <c r="E311" s="59"/>
      <c r="F311" s="59"/>
      <c r="G311" s="59"/>
      <c r="H311" s="61"/>
    </row>
    <row r="312" ht="14.25" customHeight="1">
      <c r="A312" s="59"/>
      <c r="B312" s="59"/>
      <c r="C312" s="59"/>
      <c r="D312" s="59"/>
      <c r="E312" s="59"/>
      <c r="F312" s="59"/>
      <c r="G312" s="59"/>
      <c r="H312" s="61"/>
    </row>
    <row r="313" ht="14.25" customHeight="1">
      <c r="A313" s="59"/>
      <c r="B313" s="59"/>
      <c r="C313" s="59"/>
      <c r="D313" s="59"/>
      <c r="E313" s="59"/>
      <c r="F313" s="59"/>
      <c r="G313" s="59"/>
      <c r="H313" s="61"/>
    </row>
    <row r="314" ht="14.25" customHeight="1">
      <c r="A314" s="59"/>
      <c r="B314" s="59"/>
      <c r="C314" s="59"/>
      <c r="D314" s="59"/>
      <c r="E314" s="59"/>
      <c r="F314" s="59"/>
      <c r="G314" s="59"/>
      <c r="H314" s="61"/>
    </row>
    <row r="315" ht="14.25" customHeight="1">
      <c r="A315" s="59"/>
      <c r="B315" s="59"/>
      <c r="C315" s="59"/>
      <c r="D315" s="59"/>
      <c r="E315" s="59"/>
      <c r="F315" s="59"/>
      <c r="G315" s="59"/>
      <c r="H315" s="61"/>
    </row>
    <row r="316" ht="14.25" customHeight="1">
      <c r="A316" s="59"/>
      <c r="B316" s="59"/>
      <c r="C316" s="59"/>
      <c r="D316" s="59"/>
      <c r="E316" s="59"/>
      <c r="F316" s="59"/>
      <c r="G316" s="59"/>
      <c r="H316" s="61"/>
    </row>
    <row r="317" ht="14.25" customHeight="1">
      <c r="A317" s="59"/>
      <c r="B317" s="59"/>
      <c r="C317" s="59"/>
      <c r="D317" s="59"/>
      <c r="E317" s="59"/>
      <c r="F317" s="59"/>
      <c r="G317" s="59"/>
      <c r="H317" s="61"/>
    </row>
    <row r="318" ht="14.25" customHeight="1">
      <c r="A318" s="59"/>
      <c r="B318" s="59"/>
      <c r="C318" s="59"/>
      <c r="D318" s="59"/>
      <c r="E318" s="59"/>
      <c r="F318" s="59"/>
      <c r="G318" s="59"/>
      <c r="H318" s="61"/>
    </row>
    <row r="319" ht="14.25" customHeight="1">
      <c r="A319" s="59"/>
      <c r="B319" s="59"/>
      <c r="C319" s="59"/>
      <c r="D319" s="59"/>
      <c r="E319" s="59"/>
      <c r="F319" s="59"/>
      <c r="G319" s="59"/>
      <c r="H319" s="61"/>
    </row>
    <row r="320" ht="14.25" customHeight="1">
      <c r="A320" s="59"/>
      <c r="B320" s="59"/>
      <c r="C320" s="59"/>
      <c r="D320" s="59"/>
      <c r="E320" s="59"/>
      <c r="F320" s="59"/>
      <c r="G320" s="59"/>
      <c r="H320" s="61"/>
    </row>
    <row r="321" ht="14.25" customHeight="1">
      <c r="A321" s="59"/>
      <c r="B321" s="59"/>
      <c r="C321" s="59"/>
      <c r="D321" s="59"/>
      <c r="E321" s="59"/>
      <c r="F321" s="59"/>
      <c r="G321" s="59"/>
      <c r="H321" s="61"/>
    </row>
    <row r="322" ht="14.25" customHeight="1">
      <c r="A322" s="59"/>
      <c r="B322" s="59"/>
      <c r="C322" s="59"/>
      <c r="D322" s="59"/>
      <c r="E322" s="59"/>
      <c r="F322" s="59"/>
      <c r="G322" s="59"/>
      <c r="H322" s="61"/>
    </row>
    <row r="323" ht="14.25" customHeight="1">
      <c r="A323" s="59"/>
      <c r="B323" s="59"/>
      <c r="C323" s="59"/>
      <c r="D323" s="59"/>
      <c r="E323" s="59"/>
      <c r="F323" s="59"/>
      <c r="G323" s="59"/>
      <c r="H323" s="61"/>
    </row>
    <row r="324" ht="14.25" customHeight="1">
      <c r="A324" s="59"/>
      <c r="B324" s="59"/>
      <c r="C324" s="59"/>
      <c r="D324" s="59"/>
      <c r="E324" s="59"/>
      <c r="F324" s="59"/>
      <c r="G324" s="59"/>
      <c r="H324" s="61"/>
    </row>
    <row r="325" ht="14.25" customHeight="1">
      <c r="A325" s="59"/>
      <c r="B325" s="59"/>
      <c r="C325" s="59"/>
      <c r="D325" s="59"/>
      <c r="E325" s="59"/>
      <c r="F325" s="59"/>
      <c r="G325" s="59"/>
      <c r="H325" s="61"/>
    </row>
    <row r="326" ht="14.25" customHeight="1">
      <c r="A326" s="59"/>
      <c r="B326" s="59"/>
      <c r="C326" s="59"/>
      <c r="D326" s="59"/>
      <c r="E326" s="59"/>
      <c r="F326" s="59"/>
      <c r="G326" s="59"/>
      <c r="H326" s="61"/>
    </row>
    <row r="327" ht="14.25" customHeight="1">
      <c r="A327" s="59"/>
      <c r="B327" s="59"/>
      <c r="C327" s="59"/>
      <c r="D327" s="59"/>
      <c r="E327" s="59"/>
      <c r="F327" s="59"/>
      <c r="G327" s="59"/>
      <c r="H327" s="61"/>
    </row>
    <row r="328" ht="14.25" customHeight="1">
      <c r="A328" s="59"/>
      <c r="B328" s="59"/>
      <c r="C328" s="59"/>
      <c r="D328" s="59"/>
      <c r="E328" s="59"/>
      <c r="F328" s="59"/>
      <c r="G328" s="59"/>
      <c r="H328" s="61"/>
    </row>
    <row r="329" ht="14.25" customHeight="1">
      <c r="A329" s="59"/>
      <c r="B329" s="59"/>
      <c r="C329" s="59"/>
      <c r="D329" s="59"/>
      <c r="E329" s="59"/>
      <c r="F329" s="59"/>
      <c r="G329" s="59"/>
      <c r="H329" s="61"/>
    </row>
    <row r="330" ht="14.25" customHeight="1">
      <c r="A330" s="59"/>
      <c r="B330" s="59"/>
      <c r="C330" s="59"/>
      <c r="D330" s="59"/>
      <c r="E330" s="59"/>
      <c r="F330" s="59"/>
      <c r="G330" s="59"/>
      <c r="H330" s="61"/>
    </row>
    <row r="331" ht="14.25" customHeight="1">
      <c r="A331" s="59"/>
      <c r="B331" s="59"/>
      <c r="C331" s="59"/>
      <c r="D331" s="59"/>
      <c r="E331" s="59"/>
      <c r="F331" s="59"/>
      <c r="G331" s="59"/>
      <c r="H331" s="61"/>
    </row>
    <row r="332" ht="14.25" customHeight="1">
      <c r="A332" s="59"/>
      <c r="B332" s="59"/>
      <c r="C332" s="59"/>
      <c r="D332" s="59"/>
      <c r="E332" s="59"/>
      <c r="F332" s="59"/>
      <c r="G332" s="59"/>
      <c r="H332" s="61"/>
    </row>
    <row r="333" ht="14.25" customHeight="1">
      <c r="A333" s="59"/>
      <c r="B333" s="59"/>
      <c r="C333" s="59"/>
      <c r="D333" s="59"/>
      <c r="E333" s="59"/>
      <c r="F333" s="59"/>
      <c r="G333" s="59"/>
      <c r="H333" s="61"/>
    </row>
    <row r="334" ht="14.25" customHeight="1">
      <c r="A334" s="59"/>
      <c r="B334" s="59"/>
      <c r="C334" s="59"/>
      <c r="D334" s="59"/>
      <c r="E334" s="59"/>
      <c r="F334" s="59"/>
      <c r="G334" s="59"/>
      <c r="H334" s="61"/>
    </row>
    <row r="335" ht="14.25" customHeight="1">
      <c r="A335" s="59"/>
      <c r="B335" s="59"/>
      <c r="C335" s="59"/>
      <c r="D335" s="59"/>
      <c r="E335" s="59"/>
      <c r="F335" s="59"/>
      <c r="G335" s="59"/>
      <c r="H335" s="61"/>
    </row>
    <row r="336" ht="14.25" customHeight="1">
      <c r="A336" s="59"/>
      <c r="B336" s="59"/>
      <c r="C336" s="59"/>
      <c r="D336" s="59"/>
      <c r="E336" s="59"/>
      <c r="F336" s="59"/>
      <c r="G336" s="59"/>
      <c r="H336" s="61"/>
    </row>
    <row r="337" ht="14.25" customHeight="1">
      <c r="A337" s="59"/>
      <c r="B337" s="59"/>
      <c r="C337" s="59"/>
      <c r="D337" s="59"/>
      <c r="E337" s="59"/>
      <c r="F337" s="59"/>
      <c r="G337" s="59"/>
      <c r="H337" s="61"/>
    </row>
    <row r="338" ht="14.25" customHeight="1">
      <c r="A338" s="59"/>
      <c r="B338" s="59"/>
      <c r="C338" s="59"/>
      <c r="D338" s="59"/>
      <c r="E338" s="59"/>
      <c r="F338" s="59"/>
      <c r="G338" s="59"/>
      <c r="H338" s="61"/>
    </row>
    <row r="339" ht="14.25" customHeight="1">
      <c r="A339" s="59"/>
      <c r="B339" s="59"/>
      <c r="C339" s="59"/>
      <c r="D339" s="59"/>
      <c r="E339" s="59"/>
      <c r="F339" s="59"/>
      <c r="G339" s="59"/>
      <c r="H339" s="61"/>
    </row>
    <row r="340" ht="14.25" customHeight="1">
      <c r="A340" s="59"/>
      <c r="B340" s="59"/>
      <c r="C340" s="59"/>
      <c r="D340" s="59"/>
      <c r="E340" s="59"/>
      <c r="F340" s="59"/>
      <c r="G340" s="59"/>
      <c r="H340" s="61"/>
    </row>
    <row r="341" ht="14.25" customHeight="1">
      <c r="A341" s="59"/>
      <c r="B341" s="59"/>
      <c r="C341" s="59"/>
      <c r="D341" s="59"/>
      <c r="E341" s="59"/>
      <c r="F341" s="59"/>
      <c r="G341" s="59"/>
      <c r="H341" s="61"/>
    </row>
    <row r="342" ht="14.25" customHeight="1">
      <c r="A342" s="59"/>
      <c r="B342" s="59"/>
      <c r="C342" s="59"/>
      <c r="D342" s="59"/>
      <c r="E342" s="59"/>
      <c r="F342" s="59"/>
      <c r="G342" s="59"/>
      <c r="H342" s="61"/>
    </row>
    <row r="343" ht="14.25" customHeight="1">
      <c r="A343" s="59"/>
      <c r="B343" s="59"/>
      <c r="C343" s="59"/>
      <c r="D343" s="59"/>
      <c r="E343" s="59"/>
      <c r="F343" s="59"/>
      <c r="G343" s="59"/>
      <c r="H343" s="61"/>
    </row>
    <row r="344" ht="14.25" customHeight="1">
      <c r="A344" s="59"/>
      <c r="B344" s="59"/>
      <c r="C344" s="59"/>
      <c r="D344" s="59"/>
      <c r="E344" s="59"/>
      <c r="F344" s="59"/>
      <c r="G344" s="59"/>
      <c r="H344" s="61"/>
    </row>
    <row r="345" ht="14.25" customHeight="1">
      <c r="A345" s="59"/>
      <c r="B345" s="59"/>
      <c r="C345" s="59"/>
      <c r="D345" s="59"/>
      <c r="E345" s="59"/>
      <c r="F345" s="59"/>
      <c r="G345" s="59"/>
      <c r="H345" s="61"/>
    </row>
    <row r="346" ht="14.25" customHeight="1">
      <c r="A346" s="59"/>
      <c r="B346" s="59"/>
      <c r="C346" s="59"/>
      <c r="D346" s="59"/>
      <c r="E346" s="59"/>
      <c r="F346" s="59"/>
      <c r="G346" s="59"/>
      <c r="H346" s="61"/>
    </row>
    <row r="347" ht="14.25" customHeight="1">
      <c r="A347" s="59"/>
      <c r="B347" s="59"/>
      <c r="C347" s="59"/>
      <c r="D347" s="59"/>
      <c r="E347" s="59"/>
      <c r="F347" s="59"/>
      <c r="G347" s="59"/>
      <c r="H347" s="61"/>
    </row>
    <row r="348" ht="14.25" customHeight="1">
      <c r="A348" s="59"/>
      <c r="B348" s="59"/>
      <c r="C348" s="59"/>
      <c r="D348" s="59"/>
      <c r="E348" s="59"/>
      <c r="F348" s="59"/>
      <c r="G348" s="59"/>
      <c r="H348" s="61"/>
    </row>
    <row r="349" ht="14.25" customHeight="1">
      <c r="A349" s="59"/>
      <c r="B349" s="59"/>
      <c r="C349" s="59"/>
      <c r="D349" s="59"/>
      <c r="E349" s="59"/>
      <c r="F349" s="59"/>
      <c r="G349" s="59"/>
      <c r="H349" s="61"/>
    </row>
    <row r="350" ht="14.25" customHeight="1">
      <c r="A350" s="59"/>
      <c r="B350" s="59"/>
      <c r="C350" s="59"/>
      <c r="D350" s="59"/>
      <c r="E350" s="59"/>
      <c r="F350" s="59"/>
      <c r="G350" s="59"/>
      <c r="H350" s="61"/>
    </row>
    <row r="351" ht="14.25" customHeight="1">
      <c r="A351" s="59"/>
      <c r="B351" s="59"/>
      <c r="C351" s="59"/>
      <c r="D351" s="59"/>
      <c r="E351" s="59"/>
      <c r="F351" s="59"/>
      <c r="G351" s="59"/>
      <c r="H351" s="61"/>
    </row>
    <row r="352" ht="14.25" customHeight="1">
      <c r="A352" s="59"/>
      <c r="B352" s="59"/>
      <c r="C352" s="59"/>
      <c r="D352" s="59"/>
      <c r="E352" s="59"/>
      <c r="F352" s="59"/>
      <c r="G352" s="59"/>
      <c r="H352" s="61"/>
    </row>
    <row r="353" ht="14.25" customHeight="1">
      <c r="A353" s="59"/>
      <c r="B353" s="59"/>
      <c r="C353" s="59"/>
      <c r="D353" s="59"/>
      <c r="E353" s="59"/>
      <c r="F353" s="59"/>
      <c r="G353" s="59"/>
      <c r="H353" s="61"/>
    </row>
    <row r="354" ht="14.25" customHeight="1">
      <c r="A354" s="59"/>
      <c r="B354" s="59"/>
      <c r="C354" s="59"/>
      <c r="D354" s="59"/>
      <c r="E354" s="59"/>
      <c r="F354" s="59"/>
      <c r="G354" s="59"/>
      <c r="H354" s="61"/>
    </row>
    <row r="355" ht="14.25" customHeight="1">
      <c r="A355" s="59"/>
      <c r="B355" s="59"/>
      <c r="C355" s="59"/>
      <c r="D355" s="59"/>
      <c r="E355" s="59"/>
      <c r="F355" s="59"/>
      <c r="G355" s="59"/>
      <c r="H355" s="61"/>
    </row>
    <row r="356" ht="14.25" customHeight="1">
      <c r="A356" s="59"/>
      <c r="B356" s="59"/>
      <c r="C356" s="59"/>
      <c r="D356" s="59"/>
      <c r="E356" s="59"/>
      <c r="F356" s="59"/>
      <c r="G356" s="59"/>
      <c r="H356" s="61"/>
    </row>
    <row r="357" ht="14.25" customHeight="1">
      <c r="A357" s="59"/>
      <c r="B357" s="59"/>
      <c r="C357" s="59"/>
      <c r="D357" s="59"/>
      <c r="E357" s="59"/>
      <c r="F357" s="59"/>
      <c r="G357" s="59"/>
      <c r="H357" s="61"/>
    </row>
    <row r="358" ht="14.25" customHeight="1">
      <c r="A358" s="59"/>
      <c r="B358" s="59"/>
      <c r="C358" s="59"/>
      <c r="D358" s="59"/>
      <c r="E358" s="59"/>
      <c r="F358" s="59"/>
      <c r="G358" s="59"/>
      <c r="H358" s="61"/>
    </row>
    <row r="359" ht="14.25" customHeight="1">
      <c r="A359" s="59"/>
      <c r="B359" s="59"/>
      <c r="C359" s="59"/>
      <c r="D359" s="59"/>
      <c r="E359" s="59"/>
      <c r="F359" s="59"/>
      <c r="G359" s="59"/>
      <c r="H359" s="61"/>
    </row>
    <row r="360" ht="14.25" customHeight="1">
      <c r="A360" s="59"/>
      <c r="B360" s="59"/>
      <c r="C360" s="59"/>
      <c r="D360" s="59"/>
      <c r="E360" s="59"/>
      <c r="F360" s="59"/>
      <c r="G360" s="59"/>
      <c r="H360" s="61"/>
    </row>
    <row r="361" ht="14.25" customHeight="1">
      <c r="A361" s="59"/>
      <c r="B361" s="59"/>
      <c r="C361" s="59"/>
      <c r="D361" s="59"/>
      <c r="E361" s="59"/>
      <c r="F361" s="59"/>
      <c r="G361" s="59"/>
      <c r="H361" s="61"/>
    </row>
    <row r="362" ht="14.25" customHeight="1">
      <c r="A362" s="59"/>
      <c r="B362" s="59"/>
      <c r="C362" s="59"/>
      <c r="D362" s="59"/>
      <c r="E362" s="59"/>
      <c r="F362" s="59"/>
      <c r="G362" s="59"/>
      <c r="H362" s="61"/>
    </row>
    <row r="363" ht="14.25" customHeight="1">
      <c r="A363" s="59"/>
      <c r="B363" s="59"/>
      <c r="C363" s="59"/>
      <c r="D363" s="59"/>
      <c r="E363" s="59"/>
      <c r="F363" s="59"/>
      <c r="G363" s="59"/>
      <c r="H363" s="61"/>
    </row>
    <row r="364" ht="14.25" customHeight="1">
      <c r="A364" s="59"/>
      <c r="B364" s="59"/>
      <c r="C364" s="59"/>
      <c r="D364" s="59"/>
      <c r="E364" s="59"/>
      <c r="F364" s="59"/>
      <c r="G364" s="59"/>
      <c r="H364" s="61"/>
    </row>
    <row r="365" ht="14.25" customHeight="1">
      <c r="A365" s="59"/>
      <c r="B365" s="59"/>
      <c r="C365" s="59"/>
      <c r="D365" s="59"/>
      <c r="E365" s="59"/>
      <c r="F365" s="59"/>
      <c r="G365" s="59"/>
      <c r="H365" s="61"/>
    </row>
    <row r="366" ht="14.25" customHeight="1">
      <c r="A366" s="59"/>
      <c r="B366" s="59"/>
      <c r="C366" s="59"/>
      <c r="D366" s="59"/>
      <c r="E366" s="59"/>
      <c r="F366" s="59"/>
      <c r="G366" s="59"/>
      <c r="H366" s="61"/>
    </row>
    <row r="367" ht="14.25" customHeight="1">
      <c r="A367" s="59"/>
      <c r="B367" s="59"/>
      <c r="C367" s="59"/>
      <c r="D367" s="59"/>
      <c r="E367" s="59"/>
      <c r="F367" s="59"/>
      <c r="G367" s="59"/>
      <c r="H367" s="61"/>
    </row>
    <row r="368" ht="14.25" customHeight="1">
      <c r="A368" s="59"/>
      <c r="B368" s="59"/>
      <c r="C368" s="59"/>
      <c r="D368" s="59"/>
      <c r="E368" s="59"/>
      <c r="F368" s="59"/>
      <c r="G368" s="59"/>
      <c r="H368" s="61"/>
    </row>
    <row r="369" ht="14.25" customHeight="1">
      <c r="A369" s="59"/>
      <c r="B369" s="59"/>
      <c r="C369" s="59"/>
      <c r="D369" s="59"/>
      <c r="E369" s="59"/>
      <c r="F369" s="59"/>
      <c r="G369" s="59"/>
      <c r="H369" s="61"/>
    </row>
    <row r="370" ht="14.25" customHeight="1">
      <c r="A370" s="59"/>
      <c r="B370" s="59"/>
      <c r="C370" s="59"/>
      <c r="D370" s="59"/>
      <c r="E370" s="59"/>
      <c r="F370" s="59"/>
      <c r="G370" s="59"/>
      <c r="H370" s="61"/>
    </row>
    <row r="371" ht="14.25" customHeight="1">
      <c r="A371" s="59"/>
      <c r="B371" s="59"/>
      <c r="C371" s="59"/>
      <c r="D371" s="59"/>
      <c r="E371" s="59"/>
      <c r="F371" s="59"/>
      <c r="G371" s="59"/>
      <c r="H371" s="61"/>
    </row>
    <row r="372" ht="14.25" customHeight="1">
      <c r="A372" s="59"/>
      <c r="B372" s="59"/>
      <c r="C372" s="59"/>
      <c r="D372" s="59"/>
      <c r="E372" s="59"/>
      <c r="F372" s="59"/>
      <c r="G372" s="59"/>
      <c r="H372" s="61"/>
    </row>
    <row r="373" ht="14.25" customHeight="1">
      <c r="A373" s="59"/>
      <c r="B373" s="59"/>
      <c r="C373" s="59"/>
      <c r="D373" s="59"/>
      <c r="E373" s="59"/>
      <c r="F373" s="59"/>
      <c r="G373" s="59"/>
      <c r="H373" s="61"/>
    </row>
    <row r="374" ht="14.25" customHeight="1">
      <c r="A374" s="59"/>
      <c r="B374" s="59"/>
      <c r="C374" s="59"/>
      <c r="D374" s="59"/>
      <c r="E374" s="59"/>
      <c r="F374" s="59"/>
      <c r="G374" s="59"/>
      <c r="H374" s="61"/>
    </row>
    <row r="375" ht="14.25" customHeight="1">
      <c r="A375" s="59"/>
      <c r="B375" s="59"/>
      <c r="C375" s="59"/>
      <c r="D375" s="59"/>
      <c r="E375" s="59"/>
      <c r="F375" s="59"/>
      <c r="G375" s="59"/>
      <c r="H375" s="61"/>
    </row>
    <row r="376" ht="14.25" customHeight="1">
      <c r="A376" s="59"/>
      <c r="B376" s="59"/>
      <c r="C376" s="59"/>
      <c r="D376" s="59"/>
      <c r="E376" s="59"/>
      <c r="F376" s="59"/>
      <c r="G376" s="59"/>
      <c r="H376" s="61"/>
    </row>
    <row r="377" ht="14.25" customHeight="1">
      <c r="A377" s="59"/>
      <c r="B377" s="59"/>
      <c r="C377" s="59"/>
      <c r="D377" s="59"/>
      <c r="E377" s="59"/>
      <c r="F377" s="59"/>
      <c r="G377" s="59"/>
      <c r="H377" s="61"/>
    </row>
    <row r="378" ht="14.25" customHeight="1">
      <c r="A378" s="59"/>
      <c r="B378" s="59"/>
      <c r="C378" s="59"/>
      <c r="D378" s="59"/>
      <c r="E378" s="59"/>
      <c r="F378" s="59"/>
      <c r="G378" s="59"/>
      <c r="H378" s="61"/>
    </row>
    <row r="379" ht="14.25" customHeight="1">
      <c r="A379" s="59"/>
      <c r="B379" s="59"/>
      <c r="C379" s="59"/>
      <c r="D379" s="59"/>
      <c r="E379" s="59"/>
      <c r="F379" s="59"/>
      <c r="G379" s="59"/>
      <c r="H379" s="61"/>
    </row>
    <row r="380" ht="14.25" customHeight="1">
      <c r="A380" s="59"/>
      <c r="B380" s="59"/>
      <c r="C380" s="59"/>
      <c r="D380" s="59"/>
      <c r="E380" s="59"/>
      <c r="F380" s="59"/>
      <c r="G380" s="59"/>
      <c r="H380" s="61"/>
    </row>
    <row r="381" ht="14.25" customHeight="1">
      <c r="A381" s="59"/>
      <c r="B381" s="59"/>
      <c r="C381" s="59"/>
      <c r="D381" s="59"/>
      <c r="E381" s="59"/>
      <c r="F381" s="59"/>
      <c r="G381" s="59"/>
      <c r="H381" s="61"/>
    </row>
    <row r="382" ht="14.25" customHeight="1">
      <c r="A382" s="59"/>
      <c r="B382" s="59"/>
      <c r="C382" s="59"/>
      <c r="D382" s="59"/>
      <c r="E382" s="59"/>
      <c r="F382" s="59"/>
      <c r="G382" s="59"/>
      <c r="H382" s="61"/>
    </row>
    <row r="383" ht="14.25" customHeight="1">
      <c r="A383" s="59"/>
      <c r="B383" s="59"/>
      <c r="C383" s="59"/>
      <c r="D383" s="59"/>
      <c r="E383" s="59"/>
      <c r="F383" s="59"/>
      <c r="G383" s="59"/>
      <c r="H383" s="61"/>
    </row>
    <row r="384" ht="14.25" customHeight="1">
      <c r="A384" s="59"/>
      <c r="B384" s="59"/>
      <c r="C384" s="59"/>
      <c r="D384" s="59"/>
      <c r="E384" s="59"/>
      <c r="F384" s="59"/>
      <c r="G384" s="59"/>
      <c r="H384" s="61"/>
    </row>
    <row r="385" ht="14.25" customHeight="1">
      <c r="A385" s="59"/>
      <c r="B385" s="59"/>
      <c r="C385" s="59"/>
      <c r="D385" s="59"/>
      <c r="E385" s="59"/>
      <c r="F385" s="59"/>
      <c r="G385" s="59"/>
      <c r="H385" s="61"/>
    </row>
    <row r="386" ht="14.25" customHeight="1">
      <c r="A386" s="59"/>
      <c r="B386" s="59"/>
      <c r="C386" s="59"/>
      <c r="D386" s="59"/>
      <c r="E386" s="59"/>
      <c r="F386" s="59"/>
      <c r="G386" s="59"/>
      <c r="H386" s="61"/>
    </row>
    <row r="387" ht="14.25" customHeight="1">
      <c r="A387" s="59"/>
      <c r="B387" s="59"/>
      <c r="C387" s="59"/>
      <c r="D387" s="59"/>
      <c r="E387" s="59"/>
      <c r="F387" s="59"/>
      <c r="G387" s="59"/>
      <c r="H387" s="61"/>
    </row>
    <row r="388" ht="14.25" customHeight="1">
      <c r="A388" s="59"/>
      <c r="B388" s="59"/>
      <c r="C388" s="59"/>
      <c r="D388" s="59"/>
      <c r="E388" s="59"/>
      <c r="F388" s="59"/>
      <c r="G388" s="59"/>
      <c r="H388" s="61"/>
    </row>
    <row r="389" ht="14.25" customHeight="1">
      <c r="A389" s="59"/>
      <c r="B389" s="59"/>
      <c r="C389" s="59"/>
      <c r="D389" s="59"/>
      <c r="E389" s="59"/>
      <c r="F389" s="59"/>
      <c r="G389" s="59"/>
      <c r="H389" s="61"/>
    </row>
    <row r="390" ht="14.25" customHeight="1">
      <c r="A390" s="59"/>
      <c r="B390" s="59"/>
      <c r="C390" s="59"/>
      <c r="D390" s="59"/>
      <c r="E390" s="59"/>
      <c r="F390" s="59"/>
      <c r="G390" s="59"/>
      <c r="H390" s="61"/>
    </row>
    <row r="391" ht="14.25" customHeight="1">
      <c r="A391" s="59"/>
      <c r="B391" s="59"/>
      <c r="C391" s="59"/>
      <c r="D391" s="59"/>
      <c r="E391" s="59"/>
      <c r="F391" s="59"/>
      <c r="G391" s="59"/>
      <c r="H391" s="61"/>
    </row>
    <row r="392" ht="14.25" customHeight="1">
      <c r="A392" s="59"/>
      <c r="B392" s="59"/>
      <c r="C392" s="59"/>
      <c r="D392" s="59"/>
      <c r="E392" s="59"/>
      <c r="F392" s="59"/>
      <c r="G392" s="59"/>
      <c r="H392" s="61"/>
    </row>
    <row r="393" ht="14.25" customHeight="1">
      <c r="A393" s="59"/>
      <c r="B393" s="59"/>
      <c r="C393" s="59"/>
      <c r="D393" s="59"/>
      <c r="E393" s="59"/>
      <c r="F393" s="59"/>
      <c r="G393" s="59"/>
      <c r="H393" s="61"/>
    </row>
    <row r="394" ht="14.25" customHeight="1">
      <c r="A394" s="59"/>
      <c r="B394" s="59"/>
      <c r="C394" s="59"/>
      <c r="D394" s="59"/>
      <c r="E394" s="59"/>
      <c r="F394" s="59"/>
      <c r="G394" s="59"/>
      <c r="H394" s="61"/>
    </row>
    <row r="395" ht="14.25" customHeight="1">
      <c r="A395" s="59"/>
      <c r="B395" s="59"/>
      <c r="C395" s="59"/>
      <c r="D395" s="59"/>
      <c r="E395" s="59"/>
      <c r="F395" s="59"/>
      <c r="G395" s="59"/>
      <c r="H395" s="61"/>
    </row>
    <row r="396" ht="14.25" customHeight="1">
      <c r="A396" s="59"/>
      <c r="B396" s="59"/>
      <c r="C396" s="59"/>
      <c r="D396" s="59"/>
      <c r="E396" s="59"/>
      <c r="F396" s="59"/>
      <c r="G396" s="59"/>
      <c r="H396" s="61"/>
    </row>
    <row r="397" ht="14.25" customHeight="1">
      <c r="A397" s="59"/>
      <c r="B397" s="59"/>
      <c r="C397" s="59"/>
      <c r="D397" s="59"/>
      <c r="E397" s="59"/>
      <c r="F397" s="59"/>
      <c r="G397" s="59"/>
      <c r="H397" s="61"/>
    </row>
    <row r="398" ht="14.25" customHeight="1">
      <c r="A398" s="59"/>
      <c r="B398" s="59"/>
      <c r="C398" s="59"/>
      <c r="D398" s="59"/>
      <c r="E398" s="59"/>
      <c r="F398" s="59"/>
      <c r="G398" s="59"/>
      <c r="H398" s="61"/>
    </row>
    <row r="399" ht="14.25" customHeight="1">
      <c r="A399" s="59"/>
      <c r="B399" s="59"/>
      <c r="C399" s="59"/>
      <c r="D399" s="59"/>
      <c r="E399" s="59"/>
      <c r="F399" s="59"/>
      <c r="G399" s="59"/>
      <c r="H399" s="61"/>
    </row>
    <row r="400" ht="14.25" customHeight="1">
      <c r="A400" s="59"/>
      <c r="B400" s="59"/>
      <c r="C400" s="59"/>
      <c r="D400" s="59"/>
      <c r="E400" s="59"/>
      <c r="F400" s="59"/>
      <c r="G400" s="59"/>
      <c r="H400" s="61"/>
    </row>
    <row r="401" ht="14.25" customHeight="1">
      <c r="A401" s="59"/>
      <c r="B401" s="59"/>
      <c r="C401" s="59"/>
      <c r="D401" s="59"/>
      <c r="E401" s="59"/>
      <c r="F401" s="59"/>
      <c r="G401" s="59"/>
      <c r="H401" s="61"/>
    </row>
    <row r="402" ht="14.25" customHeight="1">
      <c r="A402" s="59"/>
      <c r="B402" s="59"/>
      <c r="C402" s="59"/>
      <c r="D402" s="59"/>
      <c r="E402" s="59"/>
      <c r="F402" s="59"/>
      <c r="G402" s="59"/>
      <c r="H402" s="61"/>
    </row>
    <row r="403" ht="14.25" customHeight="1">
      <c r="A403" s="59"/>
      <c r="B403" s="59"/>
      <c r="C403" s="59"/>
      <c r="D403" s="59"/>
      <c r="E403" s="59"/>
      <c r="F403" s="59"/>
      <c r="G403" s="59"/>
      <c r="H403" s="61"/>
    </row>
    <row r="404" ht="14.25" customHeight="1">
      <c r="A404" s="59"/>
      <c r="B404" s="59"/>
      <c r="C404" s="59"/>
      <c r="D404" s="59"/>
      <c r="E404" s="59"/>
      <c r="F404" s="59"/>
      <c r="G404" s="59"/>
      <c r="H404" s="61"/>
    </row>
    <row r="405" ht="14.25" customHeight="1">
      <c r="A405" s="59"/>
      <c r="B405" s="59"/>
      <c r="C405" s="59"/>
      <c r="D405" s="59"/>
      <c r="E405" s="59"/>
      <c r="F405" s="59"/>
      <c r="G405" s="59"/>
      <c r="H405" s="61"/>
    </row>
    <row r="406" ht="14.25" customHeight="1">
      <c r="A406" s="59"/>
      <c r="B406" s="59"/>
      <c r="C406" s="59"/>
      <c r="D406" s="59"/>
      <c r="E406" s="59"/>
      <c r="F406" s="59"/>
      <c r="G406" s="59"/>
      <c r="H406" s="61"/>
    </row>
    <row r="407" ht="14.25" customHeight="1">
      <c r="A407" s="59"/>
      <c r="B407" s="59"/>
      <c r="C407" s="59"/>
      <c r="D407" s="59"/>
      <c r="E407" s="59"/>
      <c r="F407" s="59"/>
      <c r="G407" s="59"/>
      <c r="H407" s="61"/>
    </row>
    <row r="408" ht="14.25" customHeight="1">
      <c r="A408" s="59"/>
      <c r="B408" s="59"/>
      <c r="C408" s="59"/>
      <c r="D408" s="59"/>
      <c r="E408" s="59"/>
      <c r="F408" s="59"/>
      <c r="G408" s="59"/>
      <c r="H408" s="61"/>
    </row>
    <row r="409" ht="14.25" customHeight="1">
      <c r="A409" s="59"/>
      <c r="B409" s="59"/>
      <c r="C409" s="59"/>
      <c r="D409" s="59"/>
      <c r="E409" s="59"/>
      <c r="F409" s="59"/>
      <c r="G409" s="59"/>
      <c r="H409" s="61"/>
    </row>
    <row r="410" ht="14.25" customHeight="1">
      <c r="A410" s="59"/>
      <c r="B410" s="59"/>
      <c r="C410" s="59"/>
      <c r="D410" s="59"/>
      <c r="E410" s="59"/>
      <c r="F410" s="59"/>
      <c r="G410" s="59"/>
      <c r="H410" s="61"/>
    </row>
    <row r="411" ht="14.25" customHeight="1">
      <c r="A411" s="59"/>
      <c r="B411" s="59"/>
      <c r="C411" s="59"/>
      <c r="D411" s="59"/>
      <c r="E411" s="59"/>
      <c r="F411" s="59"/>
      <c r="G411" s="59"/>
      <c r="H411" s="61"/>
    </row>
    <row r="412" ht="14.25" customHeight="1">
      <c r="A412" s="59"/>
      <c r="B412" s="59"/>
      <c r="C412" s="59"/>
      <c r="D412" s="59"/>
      <c r="E412" s="59"/>
      <c r="F412" s="59"/>
      <c r="G412" s="59"/>
      <c r="H412" s="61"/>
    </row>
    <row r="413" ht="14.25" customHeight="1">
      <c r="A413" s="59"/>
      <c r="B413" s="59"/>
      <c r="C413" s="59"/>
      <c r="D413" s="59"/>
      <c r="E413" s="59"/>
      <c r="F413" s="59"/>
      <c r="G413" s="59"/>
      <c r="H413" s="61"/>
    </row>
    <row r="414" ht="14.25" customHeight="1">
      <c r="A414" s="59"/>
      <c r="B414" s="59"/>
      <c r="C414" s="59"/>
      <c r="D414" s="59"/>
      <c r="E414" s="59"/>
      <c r="F414" s="59"/>
      <c r="G414" s="59"/>
      <c r="H414" s="61"/>
    </row>
    <row r="415" ht="14.25" customHeight="1">
      <c r="A415" s="59"/>
      <c r="B415" s="59"/>
      <c r="C415" s="59"/>
      <c r="D415" s="59"/>
      <c r="E415" s="59"/>
      <c r="F415" s="59"/>
      <c r="G415" s="59"/>
      <c r="H415" s="61"/>
    </row>
    <row r="416" ht="14.25" customHeight="1">
      <c r="A416" s="59"/>
      <c r="B416" s="59"/>
      <c r="C416" s="59"/>
      <c r="D416" s="59"/>
      <c r="E416" s="59"/>
      <c r="F416" s="59"/>
      <c r="G416" s="59"/>
      <c r="H416" s="61"/>
    </row>
    <row r="417" ht="14.25" customHeight="1">
      <c r="A417" s="59"/>
      <c r="B417" s="59"/>
      <c r="C417" s="59"/>
      <c r="D417" s="59"/>
      <c r="E417" s="59"/>
      <c r="F417" s="59"/>
      <c r="G417" s="59"/>
      <c r="H417" s="61"/>
    </row>
    <row r="418" ht="14.25" customHeight="1">
      <c r="A418" s="59"/>
      <c r="B418" s="59"/>
      <c r="C418" s="59"/>
      <c r="D418" s="59"/>
      <c r="E418" s="59"/>
      <c r="F418" s="59"/>
      <c r="G418" s="59"/>
      <c r="H418" s="61"/>
    </row>
    <row r="419" ht="14.25" customHeight="1">
      <c r="A419" s="59"/>
      <c r="B419" s="59"/>
      <c r="C419" s="59"/>
      <c r="D419" s="59"/>
      <c r="E419" s="59"/>
      <c r="F419" s="59"/>
      <c r="G419" s="59"/>
      <c r="H419" s="61"/>
    </row>
    <row r="420" ht="14.25" customHeight="1">
      <c r="A420" s="59"/>
      <c r="B420" s="59"/>
      <c r="C420" s="59"/>
      <c r="D420" s="59"/>
      <c r="E420" s="59"/>
      <c r="F420" s="59"/>
      <c r="G420" s="59"/>
      <c r="H420" s="61"/>
    </row>
    <row r="421" ht="14.25" customHeight="1">
      <c r="A421" s="59"/>
      <c r="B421" s="59"/>
      <c r="C421" s="59"/>
      <c r="D421" s="59"/>
      <c r="E421" s="59"/>
      <c r="F421" s="59"/>
      <c r="G421" s="59"/>
      <c r="H421" s="61"/>
    </row>
    <row r="422" ht="14.25" customHeight="1">
      <c r="A422" s="59"/>
      <c r="B422" s="59"/>
      <c r="C422" s="59"/>
      <c r="D422" s="59"/>
      <c r="E422" s="59"/>
      <c r="F422" s="59"/>
      <c r="G422" s="59"/>
      <c r="H422" s="61"/>
    </row>
    <row r="423" ht="14.25" customHeight="1">
      <c r="A423" s="59"/>
      <c r="B423" s="59"/>
      <c r="C423" s="59"/>
      <c r="D423" s="59"/>
      <c r="E423" s="59"/>
      <c r="F423" s="59"/>
      <c r="G423" s="59"/>
      <c r="H423" s="61"/>
    </row>
    <row r="424" ht="14.25" customHeight="1">
      <c r="A424" s="59"/>
      <c r="B424" s="59"/>
      <c r="C424" s="59"/>
      <c r="D424" s="59"/>
      <c r="E424" s="59"/>
      <c r="F424" s="59"/>
      <c r="G424" s="59"/>
      <c r="H424" s="61"/>
    </row>
    <row r="425" ht="14.25" customHeight="1">
      <c r="A425" s="59"/>
      <c r="B425" s="59"/>
      <c r="C425" s="59"/>
      <c r="D425" s="59"/>
      <c r="E425" s="59"/>
      <c r="F425" s="59"/>
      <c r="G425" s="59"/>
      <c r="H425" s="61"/>
    </row>
    <row r="426" ht="14.25" customHeight="1">
      <c r="A426" s="59"/>
      <c r="B426" s="59"/>
      <c r="C426" s="59"/>
      <c r="D426" s="59"/>
      <c r="E426" s="59"/>
      <c r="F426" s="59"/>
      <c r="G426" s="59"/>
      <c r="H426" s="61"/>
    </row>
    <row r="427" ht="14.25" customHeight="1">
      <c r="A427" s="59"/>
      <c r="B427" s="59"/>
      <c r="C427" s="59"/>
      <c r="D427" s="59"/>
      <c r="E427" s="59"/>
      <c r="F427" s="59"/>
      <c r="G427" s="59"/>
      <c r="H427" s="61"/>
    </row>
    <row r="428" ht="14.25" customHeight="1">
      <c r="A428" s="59"/>
      <c r="B428" s="59"/>
      <c r="C428" s="59"/>
      <c r="D428" s="59"/>
      <c r="E428" s="59"/>
      <c r="F428" s="59"/>
      <c r="G428" s="59"/>
      <c r="H428" s="61"/>
    </row>
    <row r="429" ht="14.25" customHeight="1">
      <c r="A429" s="59"/>
      <c r="B429" s="59"/>
      <c r="C429" s="59"/>
      <c r="D429" s="59"/>
      <c r="E429" s="59"/>
      <c r="F429" s="59"/>
      <c r="G429" s="59"/>
      <c r="H429" s="61"/>
    </row>
    <row r="430" ht="14.25" customHeight="1">
      <c r="A430" s="59"/>
      <c r="B430" s="59"/>
      <c r="C430" s="59"/>
      <c r="D430" s="59"/>
      <c r="E430" s="59"/>
      <c r="F430" s="59"/>
      <c r="G430" s="59"/>
      <c r="H430" s="61"/>
    </row>
    <row r="431" ht="14.25" customHeight="1">
      <c r="A431" s="59"/>
      <c r="B431" s="59"/>
      <c r="C431" s="59"/>
      <c r="D431" s="59"/>
      <c r="E431" s="59"/>
      <c r="F431" s="59"/>
      <c r="G431" s="59"/>
      <c r="H431" s="61"/>
    </row>
    <row r="432" ht="14.25" customHeight="1">
      <c r="A432" s="59"/>
      <c r="B432" s="59"/>
      <c r="C432" s="59"/>
      <c r="D432" s="59"/>
      <c r="E432" s="59"/>
      <c r="F432" s="59"/>
      <c r="G432" s="59"/>
      <c r="H432" s="61"/>
    </row>
    <row r="433" ht="14.25" customHeight="1">
      <c r="A433" s="59"/>
      <c r="B433" s="59"/>
      <c r="C433" s="59"/>
      <c r="D433" s="59"/>
      <c r="E433" s="59"/>
      <c r="F433" s="59"/>
      <c r="G433" s="59"/>
      <c r="H433" s="61"/>
    </row>
    <row r="434" ht="14.25" customHeight="1">
      <c r="A434" s="59"/>
      <c r="B434" s="59"/>
      <c r="C434" s="59"/>
      <c r="D434" s="59"/>
      <c r="E434" s="59"/>
      <c r="F434" s="59"/>
      <c r="G434" s="59"/>
      <c r="H434" s="61"/>
    </row>
    <row r="435" ht="14.25" customHeight="1">
      <c r="A435" s="59"/>
      <c r="B435" s="59"/>
      <c r="C435" s="59"/>
      <c r="D435" s="59"/>
      <c r="E435" s="59"/>
      <c r="F435" s="59"/>
      <c r="G435" s="59"/>
      <c r="H435" s="61"/>
    </row>
    <row r="436" ht="14.25" customHeight="1">
      <c r="A436" s="59"/>
      <c r="B436" s="59"/>
      <c r="C436" s="59"/>
      <c r="D436" s="59"/>
      <c r="E436" s="59"/>
      <c r="F436" s="59"/>
      <c r="G436" s="59"/>
      <c r="H436" s="61"/>
    </row>
    <row r="437" ht="14.25" customHeight="1">
      <c r="A437" s="59"/>
      <c r="B437" s="59"/>
      <c r="C437" s="59"/>
      <c r="D437" s="59"/>
      <c r="E437" s="59"/>
      <c r="F437" s="59"/>
      <c r="G437" s="59"/>
      <c r="H437" s="61"/>
    </row>
    <row r="438" ht="14.25" customHeight="1">
      <c r="A438" s="59"/>
      <c r="B438" s="59"/>
      <c r="C438" s="59"/>
      <c r="D438" s="59"/>
      <c r="E438" s="59"/>
      <c r="F438" s="59"/>
      <c r="G438" s="59"/>
      <c r="H438" s="61"/>
    </row>
    <row r="439" ht="14.25" customHeight="1">
      <c r="A439" s="59"/>
      <c r="B439" s="59"/>
      <c r="C439" s="59"/>
      <c r="D439" s="59"/>
      <c r="E439" s="59"/>
      <c r="F439" s="59"/>
      <c r="G439" s="59"/>
      <c r="H439" s="61"/>
    </row>
    <row r="440" ht="14.25" customHeight="1">
      <c r="A440" s="59"/>
      <c r="B440" s="59"/>
      <c r="C440" s="59"/>
      <c r="D440" s="59"/>
      <c r="E440" s="59"/>
      <c r="F440" s="59"/>
      <c r="G440" s="59"/>
      <c r="H440" s="61"/>
    </row>
    <row r="441" ht="14.25" customHeight="1">
      <c r="A441" s="59"/>
      <c r="B441" s="59"/>
      <c r="C441" s="59"/>
      <c r="D441" s="59"/>
      <c r="E441" s="59"/>
      <c r="F441" s="59"/>
      <c r="G441" s="59"/>
      <c r="H441" s="61"/>
    </row>
    <row r="442" ht="14.25" customHeight="1">
      <c r="A442" s="59"/>
      <c r="B442" s="59"/>
      <c r="C442" s="59"/>
      <c r="D442" s="59"/>
      <c r="E442" s="59"/>
      <c r="F442" s="59"/>
      <c r="G442" s="59"/>
      <c r="H442" s="61"/>
    </row>
    <row r="443" ht="14.25" customHeight="1">
      <c r="A443" s="59"/>
      <c r="B443" s="59"/>
      <c r="C443" s="59"/>
      <c r="D443" s="59"/>
      <c r="E443" s="59"/>
      <c r="F443" s="59"/>
      <c r="G443" s="59"/>
      <c r="H443" s="61"/>
    </row>
    <row r="444" ht="14.25" customHeight="1">
      <c r="A444" s="59"/>
      <c r="B444" s="59"/>
      <c r="C444" s="59"/>
      <c r="D444" s="59"/>
      <c r="E444" s="59"/>
      <c r="F444" s="59"/>
      <c r="G444" s="59"/>
      <c r="H444" s="61"/>
    </row>
    <row r="445" ht="14.25" customHeight="1">
      <c r="A445" s="59"/>
      <c r="B445" s="59"/>
      <c r="C445" s="59"/>
      <c r="D445" s="59"/>
      <c r="E445" s="59"/>
      <c r="F445" s="59"/>
      <c r="G445" s="59"/>
      <c r="H445" s="61"/>
    </row>
    <row r="446" ht="14.25" customHeight="1">
      <c r="A446" s="59"/>
      <c r="B446" s="59"/>
      <c r="C446" s="59"/>
      <c r="D446" s="59"/>
      <c r="E446" s="59"/>
      <c r="F446" s="59"/>
      <c r="G446" s="59"/>
      <c r="H446" s="61"/>
    </row>
    <row r="447" ht="14.25" customHeight="1">
      <c r="A447" s="59"/>
      <c r="B447" s="59"/>
      <c r="C447" s="59"/>
      <c r="D447" s="59"/>
      <c r="E447" s="59"/>
      <c r="F447" s="59"/>
      <c r="G447" s="59"/>
      <c r="H447" s="61"/>
    </row>
    <row r="448" ht="14.25" customHeight="1">
      <c r="A448" s="59"/>
      <c r="B448" s="59"/>
      <c r="C448" s="59"/>
      <c r="D448" s="59"/>
      <c r="E448" s="59"/>
      <c r="F448" s="59"/>
      <c r="G448" s="59"/>
      <c r="H448" s="61"/>
    </row>
    <row r="449" ht="14.25" customHeight="1">
      <c r="A449" s="59"/>
      <c r="B449" s="59"/>
      <c r="C449" s="59"/>
      <c r="D449" s="59"/>
      <c r="E449" s="59"/>
      <c r="F449" s="59"/>
      <c r="G449" s="59"/>
      <c r="H449" s="61"/>
    </row>
    <row r="450" ht="14.25" customHeight="1">
      <c r="A450" s="59"/>
      <c r="B450" s="59"/>
      <c r="C450" s="59"/>
      <c r="D450" s="59"/>
      <c r="E450" s="59"/>
      <c r="F450" s="59"/>
      <c r="G450" s="59"/>
      <c r="H450" s="61"/>
    </row>
    <row r="451" ht="14.25" customHeight="1">
      <c r="A451" s="59"/>
      <c r="B451" s="59"/>
      <c r="C451" s="59"/>
      <c r="D451" s="59"/>
      <c r="E451" s="59"/>
      <c r="F451" s="59"/>
      <c r="G451" s="59"/>
      <c r="H451" s="61"/>
    </row>
    <row r="452" ht="14.25" customHeight="1">
      <c r="A452" s="59"/>
      <c r="B452" s="59"/>
      <c r="C452" s="59"/>
      <c r="D452" s="59"/>
      <c r="E452" s="59"/>
      <c r="F452" s="59"/>
      <c r="G452" s="59"/>
      <c r="H452" s="61"/>
    </row>
    <row r="453" ht="14.25" customHeight="1">
      <c r="A453" s="59"/>
      <c r="B453" s="59"/>
      <c r="C453" s="59"/>
      <c r="D453" s="59"/>
      <c r="E453" s="59"/>
      <c r="F453" s="59"/>
      <c r="G453" s="59"/>
      <c r="H453" s="61"/>
    </row>
    <row r="454" ht="14.25" customHeight="1">
      <c r="A454" s="59"/>
      <c r="B454" s="59"/>
      <c r="C454" s="59"/>
      <c r="D454" s="59"/>
      <c r="E454" s="59"/>
      <c r="F454" s="59"/>
      <c r="G454" s="59"/>
      <c r="H454" s="61"/>
    </row>
    <row r="455" ht="14.25" customHeight="1">
      <c r="A455" s="59"/>
      <c r="B455" s="59"/>
      <c r="C455" s="59"/>
      <c r="D455" s="59"/>
      <c r="E455" s="59"/>
      <c r="F455" s="59"/>
      <c r="G455" s="59"/>
      <c r="H455" s="61"/>
    </row>
    <row r="456" ht="14.25" customHeight="1">
      <c r="A456" s="59"/>
      <c r="B456" s="59"/>
      <c r="C456" s="59"/>
      <c r="D456" s="59"/>
      <c r="E456" s="59"/>
      <c r="F456" s="59"/>
      <c r="G456" s="59"/>
      <c r="H456" s="61"/>
    </row>
    <row r="457" ht="14.25" customHeight="1">
      <c r="A457" s="59"/>
      <c r="B457" s="59"/>
      <c r="C457" s="59"/>
      <c r="D457" s="59"/>
      <c r="E457" s="59"/>
      <c r="F457" s="59"/>
      <c r="G457" s="59"/>
      <c r="H457" s="61"/>
    </row>
    <row r="458" ht="14.25" customHeight="1">
      <c r="A458" s="59"/>
      <c r="B458" s="59"/>
      <c r="C458" s="59"/>
      <c r="D458" s="59"/>
      <c r="E458" s="59"/>
      <c r="F458" s="59"/>
      <c r="G458" s="59"/>
      <c r="H458" s="61"/>
    </row>
    <row r="459" ht="14.25" customHeight="1">
      <c r="A459" s="59"/>
      <c r="B459" s="59"/>
      <c r="C459" s="59"/>
      <c r="D459" s="59"/>
      <c r="E459" s="59"/>
      <c r="F459" s="59"/>
      <c r="G459" s="59"/>
      <c r="H459" s="61"/>
    </row>
    <row r="460" ht="14.25" customHeight="1">
      <c r="A460" s="59"/>
      <c r="B460" s="59"/>
      <c r="C460" s="59"/>
      <c r="D460" s="59"/>
      <c r="E460" s="59"/>
      <c r="F460" s="59"/>
      <c r="G460" s="59"/>
      <c r="H460" s="61"/>
    </row>
    <row r="461" ht="14.25" customHeight="1">
      <c r="A461" s="59"/>
      <c r="B461" s="59"/>
      <c r="C461" s="59"/>
      <c r="D461" s="59"/>
      <c r="E461" s="59"/>
      <c r="F461" s="59"/>
      <c r="G461" s="59"/>
      <c r="H461" s="61"/>
    </row>
    <row r="462" ht="14.25" customHeight="1">
      <c r="A462" s="59"/>
      <c r="B462" s="59"/>
      <c r="C462" s="59"/>
      <c r="D462" s="59"/>
      <c r="E462" s="59"/>
      <c r="F462" s="59"/>
      <c r="G462" s="59"/>
      <c r="H462" s="61"/>
    </row>
    <row r="463" ht="14.25" customHeight="1">
      <c r="A463" s="59"/>
      <c r="B463" s="59"/>
      <c r="C463" s="59"/>
      <c r="D463" s="59"/>
      <c r="E463" s="59"/>
      <c r="F463" s="59"/>
      <c r="G463" s="59"/>
      <c r="H463" s="61"/>
    </row>
    <row r="464" ht="14.25" customHeight="1">
      <c r="A464" s="59"/>
      <c r="B464" s="59"/>
      <c r="C464" s="59"/>
      <c r="D464" s="59"/>
      <c r="E464" s="59"/>
      <c r="F464" s="59"/>
      <c r="G464" s="59"/>
      <c r="H464" s="61"/>
    </row>
    <row r="465" ht="14.25" customHeight="1">
      <c r="A465" s="59"/>
      <c r="B465" s="59"/>
      <c r="C465" s="59"/>
      <c r="D465" s="59"/>
      <c r="E465" s="59"/>
      <c r="F465" s="59"/>
      <c r="G465" s="59"/>
      <c r="H465" s="61"/>
    </row>
    <row r="466" ht="14.25" customHeight="1">
      <c r="A466" s="59"/>
      <c r="B466" s="59"/>
      <c r="C466" s="59"/>
      <c r="D466" s="59"/>
      <c r="E466" s="59"/>
      <c r="F466" s="59"/>
      <c r="G466" s="59"/>
      <c r="H466" s="61"/>
    </row>
    <row r="467" ht="14.25" customHeight="1">
      <c r="A467" s="59"/>
      <c r="B467" s="59"/>
      <c r="C467" s="59"/>
      <c r="D467" s="59"/>
      <c r="E467" s="59"/>
      <c r="F467" s="59"/>
      <c r="G467" s="59"/>
      <c r="H467" s="61"/>
    </row>
    <row r="468" ht="14.25" customHeight="1">
      <c r="A468" s="59"/>
      <c r="B468" s="59"/>
      <c r="C468" s="59"/>
      <c r="D468" s="59"/>
      <c r="E468" s="59"/>
      <c r="F468" s="59"/>
      <c r="G468" s="59"/>
      <c r="H468" s="61"/>
    </row>
    <row r="469" ht="14.25" customHeight="1">
      <c r="A469" s="59"/>
      <c r="B469" s="59"/>
      <c r="C469" s="59"/>
      <c r="D469" s="59"/>
      <c r="E469" s="59"/>
      <c r="F469" s="59"/>
      <c r="G469" s="59"/>
      <c r="H469" s="61"/>
    </row>
    <row r="470" ht="14.25" customHeight="1">
      <c r="A470" s="59"/>
      <c r="B470" s="59"/>
      <c r="C470" s="59"/>
      <c r="D470" s="59"/>
      <c r="E470" s="59"/>
      <c r="F470" s="59"/>
      <c r="G470" s="59"/>
      <c r="H470" s="61"/>
    </row>
    <row r="471" ht="14.25" customHeight="1">
      <c r="A471" s="59"/>
      <c r="B471" s="59"/>
      <c r="C471" s="59"/>
      <c r="D471" s="59"/>
      <c r="E471" s="59"/>
      <c r="F471" s="59"/>
      <c r="G471" s="59"/>
      <c r="H471" s="61"/>
    </row>
    <row r="472" ht="14.25" customHeight="1">
      <c r="A472" s="59"/>
      <c r="B472" s="59"/>
      <c r="C472" s="59"/>
      <c r="D472" s="59"/>
      <c r="E472" s="59"/>
      <c r="F472" s="59"/>
      <c r="G472" s="59"/>
      <c r="H472" s="61"/>
    </row>
    <row r="473" ht="14.25" customHeight="1">
      <c r="A473" s="59"/>
      <c r="B473" s="59"/>
      <c r="C473" s="59"/>
      <c r="D473" s="59"/>
      <c r="E473" s="59"/>
      <c r="F473" s="59"/>
      <c r="G473" s="59"/>
      <c r="H473" s="61"/>
    </row>
    <row r="474" ht="14.25" customHeight="1">
      <c r="A474" s="59"/>
      <c r="B474" s="59"/>
      <c r="C474" s="59"/>
      <c r="D474" s="59"/>
      <c r="E474" s="59"/>
      <c r="F474" s="59"/>
      <c r="G474" s="59"/>
      <c r="H474" s="61"/>
    </row>
    <row r="475" ht="14.25" customHeight="1">
      <c r="A475" s="59"/>
      <c r="B475" s="59"/>
      <c r="C475" s="59"/>
      <c r="D475" s="59"/>
      <c r="E475" s="59"/>
      <c r="F475" s="59"/>
      <c r="G475" s="59"/>
      <c r="H475" s="61"/>
    </row>
    <row r="476" ht="14.25" customHeight="1">
      <c r="A476" s="59"/>
      <c r="B476" s="59"/>
      <c r="C476" s="59"/>
      <c r="D476" s="59"/>
      <c r="E476" s="59"/>
      <c r="F476" s="59"/>
      <c r="G476" s="59"/>
      <c r="H476" s="61"/>
    </row>
    <row r="477" ht="14.25" customHeight="1">
      <c r="A477" s="59"/>
      <c r="B477" s="59"/>
      <c r="C477" s="59"/>
      <c r="D477" s="59"/>
      <c r="E477" s="59"/>
      <c r="F477" s="59"/>
      <c r="G477" s="59"/>
      <c r="H477" s="61"/>
    </row>
    <row r="478" ht="14.25" customHeight="1">
      <c r="A478" s="59"/>
      <c r="B478" s="59"/>
      <c r="C478" s="59"/>
      <c r="D478" s="59"/>
      <c r="E478" s="59"/>
      <c r="F478" s="59"/>
      <c r="G478" s="59"/>
      <c r="H478" s="61"/>
    </row>
    <row r="479" ht="14.25" customHeight="1">
      <c r="A479" s="59"/>
      <c r="B479" s="59"/>
      <c r="C479" s="59"/>
      <c r="D479" s="59"/>
      <c r="E479" s="59"/>
      <c r="F479" s="59"/>
      <c r="G479" s="59"/>
      <c r="H479" s="61"/>
    </row>
    <row r="480" ht="14.25" customHeight="1">
      <c r="A480" s="59"/>
      <c r="B480" s="59"/>
      <c r="C480" s="59"/>
      <c r="D480" s="59"/>
      <c r="E480" s="59"/>
      <c r="F480" s="59"/>
      <c r="G480" s="59"/>
      <c r="H480" s="61"/>
    </row>
    <row r="481" ht="14.25" customHeight="1">
      <c r="A481" s="59"/>
      <c r="B481" s="59"/>
      <c r="C481" s="59"/>
      <c r="D481" s="59"/>
      <c r="E481" s="59"/>
      <c r="F481" s="59"/>
      <c r="G481" s="59"/>
      <c r="H481" s="61"/>
    </row>
    <row r="482" ht="14.25" customHeight="1">
      <c r="A482" s="59"/>
      <c r="B482" s="59"/>
      <c r="C482" s="59"/>
      <c r="D482" s="59"/>
      <c r="E482" s="59"/>
      <c r="F482" s="59"/>
      <c r="G482" s="59"/>
      <c r="H482" s="61"/>
    </row>
    <row r="483" ht="14.25" customHeight="1">
      <c r="A483" s="59"/>
      <c r="B483" s="59"/>
      <c r="C483" s="59"/>
      <c r="D483" s="59"/>
      <c r="E483" s="59"/>
      <c r="F483" s="59"/>
      <c r="G483" s="59"/>
      <c r="H483" s="61"/>
    </row>
    <row r="484" ht="14.25" customHeight="1">
      <c r="A484" s="59"/>
      <c r="B484" s="59"/>
      <c r="C484" s="59"/>
      <c r="D484" s="59"/>
      <c r="E484" s="59"/>
      <c r="F484" s="59"/>
      <c r="G484" s="59"/>
      <c r="H484" s="61"/>
    </row>
    <row r="485" ht="14.25" customHeight="1">
      <c r="A485" s="59"/>
      <c r="B485" s="59"/>
      <c r="C485" s="59"/>
      <c r="D485" s="59"/>
      <c r="E485" s="59"/>
      <c r="F485" s="59"/>
      <c r="G485" s="59"/>
      <c r="H485" s="61"/>
    </row>
    <row r="486" ht="14.25" customHeight="1">
      <c r="A486" s="59"/>
      <c r="B486" s="59"/>
      <c r="C486" s="59"/>
      <c r="D486" s="59"/>
      <c r="E486" s="59"/>
      <c r="F486" s="59"/>
      <c r="G486" s="59"/>
      <c r="H486" s="61"/>
    </row>
    <row r="487" ht="14.25" customHeight="1">
      <c r="A487" s="59"/>
      <c r="B487" s="59"/>
      <c r="C487" s="59"/>
      <c r="D487" s="59"/>
      <c r="E487" s="59"/>
      <c r="F487" s="59"/>
      <c r="G487" s="59"/>
      <c r="H487" s="61"/>
    </row>
    <row r="488" ht="14.25" customHeight="1">
      <c r="A488" s="59"/>
      <c r="B488" s="59"/>
      <c r="C488" s="59"/>
      <c r="D488" s="59"/>
      <c r="E488" s="59"/>
      <c r="F488" s="59"/>
      <c r="G488" s="59"/>
      <c r="H488" s="61"/>
    </row>
    <row r="489" ht="14.25" customHeight="1">
      <c r="A489" s="59"/>
      <c r="B489" s="59"/>
      <c r="C489" s="59"/>
      <c r="D489" s="59"/>
      <c r="E489" s="59"/>
      <c r="F489" s="59"/>
      <c r="G489" s="59"/>
      <c r="H489" s="61"/>
    </row>
    <row r="490" ht="14.25" customHeight="1">
      <c r="A490" s="59"/>
      <c r="B490" s="59"/>
      <c r="C490" s="59"/>
      <c r="D490" s="59"/>
      <c r="E490" s="59"/>
      <c r="F490" s="59"/>
      <c r="G490" s="59"/>
      <c r="H490" s="61"/>
    </row>
    <row r="491" ht="14.25" customHeight="1">
      <c r="A491" s="59"/>
      <c r="B491" s="59"/>
      <c r="C491" s="59"/>
      <c r="D491" s="59"/>
      <c r="E491" s="59"/>
      <c r="F491" s="59"/>
      <c r="G491" s="59"/>
      <c r="H491" s="61"/>
    </row>
    <row r="492" ht="14.25" customHeight="1">
      <c r="A492" s="59"/>
      <c r="B492" s="59"/>
      <c r="C492" s="59"/>
      <c r="D492" s="59"/>
      <c r="E492" s="59"/>
      <c r="F492" s="59"/>
      <c r="G492" s="59"/>
      <c r="H492" s="61"/>
    </row>
    <row r="493" ht="14.25" customHeight="1">
      <c r="A493" s="59"/>
      <c r="B493" s="59"/>
      <c r="C493" s="59"/>
      <c r="D493" s="59"/>
      <c r="E493" s="59"/>
      <c r="F493" s="59"/>
      <c r="G493" s="59"/>
      <c r="H493" s="61"/>
    </row>
    <row r="494" ht="14.25" customHeight="1">
      <c r="A494" s="59"/>
      <c r="B494" s="59"/>
      <c r="C494" s="59"/>
      <c r="D494" s="59"/>
      <c r="E494" s="59"/>
      <c r="F494" s="59"/>
      <c r="G494" s="59"/>
      <c r="H494" s="61"/>
    </row>
    <row r="495" ht="14.25" customHeight="1">
      <c r="A495" s="59"/>
      <c r="B495" s="59"/>
      <c r="C495" s="59"/>
      <c r="D495" s="59"/>
      <c r="E495" s="59"/>
      <c r="F495" s="59"/>
      <c r="G495" s="59"/>
      <c r="H495" s="61"/>
    </row>
    <row r="496" ht="14.25" customHeight="1">
      <c r="A496" s="59"/>
      <c r="B496" s="59"/>
      <c r="C496" s="59"/>
      <c r="D496" s="59"/>
      <c r="E496" s="59"/>
      <c r="F496" s="59"/>
      <c r="G496" s="59"/>
      <c r="H496" s="61"/>
    </row>
    <row r="497" ht="14.25" customHeight="1">
      <c r="A497" s="59"/>
      <c r="B497" s="59"/>
      <c r="C497" s="59"/>
      <c r="D497" s="59"/>
      <c r="E497" s="59"/>
      <c r="F497" s="59"/>
      <c r="G497" s="59"/>
      <c r="H497" s="61"/>
    </row>
    <row r="498" ht="14.25" customHeight="1">
      <c r="A498" s="59"/>
      <c r="B498" s="59"/>
      <c r="C498" s="59"/>
      <c r="D498" s="59"/>
      <c r="E498" s="59"/>
      <c r="F498" s="59"/>
      <c r="G498" s="59"/>
      <c r="H498" s="61"/>
    </row>
    <row r="499" ht="14.25" customHeight="1">
      <c r="A499" s="59"/>
      <c r="B499" s="59"/>
      <c r="C499" s="59"/>
      <c r="D499" s="59"/>
      <c r="E499" s="59"/>
      <c r="F499" s="59"/>
      <c r="G499" s="59"/>
      <c r="H499" s="61"/>
    </row>
    <row r="500" ht="14.25" customHeight="1">
      <c r="A500" s="59"/>
      <c r="B500" s="59"/>
      <c r="C500" s="59"/>
      <c r="D500" s="59"/>
      <c r="E500" s="59"/>
      <c r="F500" s="59"/>
      <c r="G500" s="59"/>
      <c r="H500" s="61"/>
    </row>
    <row r="501" ht="14.25" customHeight="1">
      <c r="A501" s="59"/>
      <c r="B501" s="59"/>
      <c r="C501" s="59"/>
      <c r="D501" s="59"/>
      <c r="E501" s="59"/>
      <c r="F501" s="59"/>
      <c r="G501" s="59"/>
      <c r="H501" s="61"/>
    </row>
    <row r="502" ht="14.25" customHeight="1">
      <c r="A502" s="59"/>
      <c r="B502" s="59"/>
      <c r="C502" s="59"/>
      <c r="D502" s="59"/>
      <c r="E502" s="59"/>
      <c r="F502" s="59"/>
      <c r="G502" s="59"/>
      <c r="H502" s="61"/>
    </row>
    <row r="503" ht="14.25" customHeight="1">
      <c r="A503" s="59"/>
      <c r="B503" s="59"/>
      <c r="C503" s="59"/>
      <c r="D503" s="59"/>
      <c r="E503" s="59"/>
      <c r="F503" s="59"/>
      <c r="G503" s="59"/>
      <c r="H503" s="61"/>
    </row>
    <row r="504" ht="14.25" customHeight="1">
      <c r="A504" s="59"/>
      <c r="B504" s="59"/>
      <c r="C504" s="59"/>
      <c r="D504" s="59"/>
      <c r="E504" s="59"/>
      <c r="F504" s="59"/>
      <c r="G504" s="59"/>
      <c r="H504" s="61"/>
    </row>
    <row r="505" ht="14.25" customHeight="1">
      <c r="A505" s="59"/>
      <c r="B505" s="59"/>
      <c r="C505" s="59"/>
      <c r="D505" s="59"/>
      <c r="E505" s="59"/>
      <c r="F505" s="59"/>
      <c r="G505" s="59"/>
      <c r="H505" s="61"/>
    </row>
    <row r="506" ht="14.25" customHeight="1">
      <c r="A506" s="59"/>
      <c r="B506" s="59"/>
      <c r="C506" s="59"/>
      <c r="D506" s="59"/>
      <c r="E506" s="59"/>
      <c r="F506" s="59"/>
      <c r="G506" s="59"/>
      <c r="H506" s="61"/>
    </row>
    <row r="507" ht="14.25" customHeight="1">
      <c r="A507" s="59"/>
      <c r="B507" s="59"/>
      <c r="C507" s="59"/>
      <c r="D507" s="59"/>
      <c r="E507" s="59"/>
      <c r="F507" s="59"/>
      <c r="G507" s="59"/>
      <c r="H507" s="61"/>
    </row>
    <row r="508" ht="14.25" customHeight="1">
      <c r="A508" s="59"/>
      <c r="B508" s="59"/>
      <c r="C508" s="59"/>
      <c r="D508" s="59"/>
      <c r="E508" s="59"/>
      <c r="F508" s="59"/>
      <c r="G508" s="59"/>
      <c r="H508" s="61"/>
    </row>
    <row r="509" ht="14.25" customHeight="1">
      <c r="A509" s="59"/>
      <c r="B509" s="59"/>
      <c r="C509" s="59"/>
      <c r="D509" s="59"/>
      <c r="E509" s="59"/>
      <c r="F509" s="59"/>
      <c r="G509" s="59"/>
      <c r="H509" s="61"/>
    </row>
    <row r="510" ht="14.25" customHeight="1">
      <c r="A510" s="59"/>
      <c r="B510" s="59"/>
      <c r="C510" s="59"/>
      <c r="D510" s="59"/>
      <c r="E510" s="59"/>
      <c r="F510" s="59"/>
      <c r="G510" s="59"/>
      <c r="H510" s="61"/>
    </row>
    <row r="511" ht="14.25" customHeight="1">
      <c r="A511" s="59"/>
      <c r="B511" s="59"/>
      <c r="C511" s="59"/>
      <c r="D511" s="59"/>
      <c r="E511" s="59"/>
      <c r="F511" s="59"/>
      <c r="G511" s="59"/>
      <c r="H511" s="61"/>
    </row>
    <row r="512" ht="14.25" customHeight="1">
      <c r="A512" s="59"/>
      <c r="B512" s="59"/>
      <c r="C512" s="59"/>
      <c r="D512" s="59"/>
      <c r="E512" s="59"/>
      <c r="F512" s="59"/>
      <c r="G512" s="59"/>
      <c r="H512" s="61"/>
    </row>
    <row r="513" ht="14.25" customHeight="1">
      <c r="A513" s="59"/>
      <c r="B513" s="59"/>
      <c r="C513" s="59"/>
      <c r="D513" s="59"/>
      <c r="E513" s="59"/>
      <c r="F513" s="59"/>
      <c r="G513" s="59"/>
      <c r="H513" s="61"/>
    </row>
    <row r="514" ht="14.25" customHeight="1">
      <c r="A514" s="59"/>
      <c r="B514" s="59"/>
      <c r="C514" s="59"/>
      <c r="D514" s="59"/>
      <c r="E514" s="59"/>
      <c r="F514" s="59"/>
      <c r="G514" s="59"/>
      <c r="H514" s="61"/>
    </row>
    <row r="515" ht="14.25" customHeight="1">
      <c r="A515" s="59"/>
      <c r="B515" s="59"/>
      <c r="C515" s="59"/>
      <c r="D515" s="59"/>
      <c r="E515" s="59"/>
      <c r="F515" s="59"/>
      <c r="G515" s="59"/>
      <c r="H515" s="61"/>
    </row>
    <row r="516" ht="14.25" customHeight="1">
      <c r="A516" s="59"/>
      <c r="B516" s="59"/>
      <c r="C516" s="59"/>
      <c r="D516" s="59"/>
      <c r="E516" s="59"/>
      <c r="F516" s="59"/>
      <c r="G516" s="59"/>
      <c r="H516" s="61"/>
    </row>
    <row r="517" ht="14.25" customHeight="1">
      <c r="A517" s="59"/>
      <c r="B517" s="59"/>
      <c r="C517" s="59"/>
      <c r="D517" s="59"/>
      <c r="E517" s="59"/>
      <c r="F517" s="59"/>
      <c r="G517" s="59"/>
      <c r="H517" s="61"/>
    </row>
    <row r="518" ht="14.25" customHeight="1">
      <c r="A518" s="59"/>
      <c r="B518" s="59"/>
      <c r="C518" s="59"/>
      <c r="D518" s="59"/>
      <c r="E518" s="59"/>
      <c r="F518" s="59"/>
      <c r="G518" s="59"/>
      <c r="H518" s="61"/>
    </row>
    <row r="519" ht="14.25" customHeight="1">
      <c r="A519" s="59"/>
      <c r="B519" s="59"/>
      <c r="C519" s="59"/>
      <c r="D519" s="59"/>
      <c r="E519" s="59"/>
      <c r="F519" s="59"/>
      <c r="G519" s="59"/>
      <c r="H519" s="61"/>
    </row>
    <row r="520" ht="14.25" customHeight="1">
      <c r="A520" s="59"/>
      <c r="B520" s="59"/>
      <c r="C520" s="59"/>
      <c r="D520" s="59"/>
      <c r="E520" s="59"/>
      <c r="F520" s="59"/>
      <c r="G520" s="59"/>
      <c r="H520" s="61"/>
    </row>
    <row r="521" ht="14.25" customHeight="1">
      <c r="A521" s="59"/>
      <c r="B521" s="59"/>
      <c r="C521" s="59"/>
      <c r="D521" s="59"/>
      <c r="E521" s="59"/>
      <c r="F521" s="59"/>
      <c r="G521" s="59"/>
      <c r="H521" s="61"/>
    </row>
    <row r="522" ht="14.25" customHeight="1">
      <c r="A522" s="59"/>
      <c r="B522" s="59"/>
      <c r="C522" s="59"/>
      <c r="D522" s="59"/>
      <c r="E522" s="59"/>
      <c r="F522" s="59"/>
      <c r="G522" s="59"/>
      <c r="H522" s="61"/>
    </row>
    <row r="523" ht="14.25" customHeight="1">
      <c r="A523" s="59"/>
      <c r="B523" s="59"/>
      <c r="C523" s="59"/>
      <c r="D523" s="59"/>
      <c r="E523" s="59"/>
      <c r="F523" s="59"/>
      <c r="G523" s="59"/>
      <c r="H523" s="61"/>
    </row>
    <row r="524" ht="14.25" customHeight="1">
      <c r="A524" s="59"/>
      <c r="B524" s="59"/>
      <c r="C524" s="59"/>
      <c r="D524" s="59"/>
      <c r="E524" s="59"/>
      <c r="F524" s="59"/>
      <c r="G524" s="59"/>
      <c r="H524" s="61"/>
    </row>
    <row r="525" ht="14.25" customHeight="1">
      <c r="A525" s="59"/>
      <c r="B525" s="59"/>
      <c r="C525" s="59"/>
      <c r="D525" s="59"/>
      <c r="E525" s="59"/>
      <c r="F525" s="59"/>
      <c r="G525" s="59"/>
      <c r="H525" s="61"/>
    </row>
    <row r="526" ht="14.25" customHeight="1">
      <c r="A526" s="59"/>
      <c r="B526" s="59"/>
      <c r="C526" s="59"/>
      <c r="D526" s="59"/>
      <c r="E526" s="59"/>
      <c r="F526" s="59"/>
      <c r="G526" s="59"/>
      <c r="H526" s="61"/>
    </row>
    <row r="527" ht="14.25" customHeight="1">
      <c r="A527" s="59"/>
      <c r="B527" s="59"/>
      <c r="C527" s="59"/>
      <c r="D527" s="59"/>
      <c r="E527" s="59"/>
      <c r="F527" s="59"/>
      <c r="G527" s="59"/>
      <c r="H527" s="61"/>
    </row>
    <row r="528" ht="14.25" customHeight="1">
      <c r="A528" s="59"/>
      <c r="B528" s="59"/>
      <c r="C528" s="59"/>
      <c r="D528" s="59"/>
      <c r="E528" s="59"/>
      <c r="F528" s="59"/>
      <c r="G528" s="59"/>
      <c r="H528" s="61"/>
    </row>
    <row r="529" ht="14.25" customHeight="1">
      <c r="A529" s="59"/>
      <c r="B529" s="59"/>
      <c r="C529" s="59"/>
      <c r="D529" s="59"/>
      <c r="E529" s="59"/>
      <c r="F529" s="59"/>
      <c r="G529" s="59"/>
      <c r="H529" s="61"/>
    </row>
    <row r="530" ht="14.25" customHeight="1">
      <c r="A530" s="59"/>
      <c r="B530" s="59"/>
      <c r="C530" s="59"/>
      <c r="D530" s="59"/>
      <c r="E530" s="59"/>
      <c r="F530" s="59"/>
      <c r="G530" s="59"/>
      <c r="H530" s="61"/>
    </row>
    <row r="531" ht="14.25" customHeight="1">
      <c r="A531" s="59"/>
      <c r="B531" s="59"/>
      <c r="C531" s="59"/>
      <c r="D531" s="59"/>
      <c r="E531" s="59"/>
      <c r="F531" s="59"/>
      <c r="G531" s="59"/>
      <c r="H531" s="61"/>
    </row>
    <row r="532" ht="14.25" customHeight="1">
      <c r="A532" s="59"/>
      <c r="B532" s="59"/>
      <c r="C532" s="59"/>
      <c r="D532" s="59"/>
      <c r="E532" s="59"/>
      <c r="F532" s="59"/>
      <c r="G532" s="59"/>
      <c r="H532" s="61"/>
    </row>
    <row r="533" ht="14.25" customHeight="1">
      <c r="A533" s="59"/>
      <c r="B533" s="59"/>
      <c r="C533" s="59"/>
      <c r="D533" s="59"/>
      <c r="E533" s="59"/>
      <c r="F533" s="59"/>
      <c r="G533" s="59"/>
      <c r="H533" s="61"/>
    </row>
    <row r="534" ht="14.25" customHeight="1">
      <c r="A534" s="59"/>
      <c r="B534" s="59"/>
      <c r="C534" s="59"/>
      <c r="D534" s="59"/>
      <c r="E534" s="59"/>
      <c r="F534" s="59"/>
      <c r="G534" s="59"/>
      <c r="H534" s="61"/>
    </row>
    <row r="535" ht="14.25" customHeight="1">
      <c r="A535" s="59"/>
      <c r="B535" s="59"/>
      <c r="C535" s="59"/>
      <c r="D535" s="59"/>
      <c r="E535" s="59"/>
      <c r="F535" s="59"/>
      <c r="G535" s="59"/>
      <c r="H535" s="61"/>
    </row>
    <row r="536" ht="14.25" customHeight="1">
      <c r="A536" s="59"/>
      <c r="B536" s="59"/>
      <c r="C536" s="59"/>
      <c r="D536" s="59"/>
      <c r="E536" s="59"/>
      <c r="F536" s="59"/>
      <c r="G536" s="59"/>
      <c r="H536" s="61"/>
    </row>
    <row r="537" ht="14.25" customHeight="1">
      <c r="A537" s="59"/>
      <c r="B537" s="59"/>
      <c r="C537" s="59"/>
      <c r="D537" s="59"/>
      <c r="E537" s="59"/>
      <c r="F537" s="59"/>
      <c r="G537" s="59"/>
      <c r="H537" s="61"/>
    </row>
    <row r="538" ht="14.25" customHeight="1">
      <c r="A538" s="59"/>
      <c r="B538" s="59"/>
      <c r="C538" s="59"/>
      <c r="D538" s="59"/>
      <c r="E538" s="59"/>
      <c r="F538" s="59"/>
      <c r="G538" s="59"/>
      <c r="H538" s="61"/>
    </row>
    <row r="539" ht="14.25" customHeight="1">
      <c r="A539" s="59"/>
      <c r="B539" s="59"/>
      <c r="C539" s="59"/>
      <c r="D539" s="59"/>
      <c r="E539" s="59"/>
      <c r="F539" s="59"/>
      <c r="G539" s="59"/>
      <c r="H539" s="61"/>
    </row>
    <row r="540" ht="14.25" customHeight="1">
      <c r="A540" s="59"/>
      <c r="B540" s="59"/>
      <c r="C540" s="59"/>
      <c r="D540" s="59"/>
      <c r="E540" s="59"/>
      <c r="F540" s="59"/>
      <c r="G540" s="59"/>
      <c r="H540" s="61"/>
    </row>
    <row r="541" ht="14.25" customHeight="1">
      <c r="A541" s="59"/>
      <c r="B541" s="59"/>
      <c r="C541" s="59"/>
      <c r="D541" s="59"/>
      <c r="E541" s="59"/>
      <c r="F541" s="59"/>
      <c r="G541" s="59"/>
      <c r="H541" s="61"/>
    </row>
    <row r="542" ht="14.25" customHeight="1">
      <c r="A542" s="59"/>
      <c r="B542" s="59"/>
      <c r="C542" s="59"/>
      <c r="D542" s="59"/>
      <c r="E542" s="59"/>
      <c r="F542" s="59"/>
      <c r="G542" s="59"/>
      <c r="H542" s="61"/>
    </row>
    <row r="543" ht="14.25" customHeight="1">
      <c r="A543" s="59"/>
      <c r="B543" s="59"/>
      <c r="C543" s="59"/>
      <c r="D543" s="59"/>
      <c r="E543" s="59"/>
      <c r="F543" s="59"/>
      <c r="G543" s="59"/>
      <c r="H543" s="61"/>
    </row>
    <row r="544" ht="14.25" customHeight="1">
      <c r="A544" s="59"/>
      <c r="B544" s="59"/>
      <c r="C544" s="59"/>
      <c r="D544" s="59"/>
      <c r="E544" s="59"/>
      <c r="F544" s="59"/>
      <c r="G544" s="59"/>
      <c r="H544" s="61"/>
    </row>
    <row r="545" ht="14.25" customHeight="1">
      <c r="A545" s="59"/>
      <c r="B545" s="59"/>
      <c r="C545" s="59"/>
      <c r="D545" s="59"/>
      <c r="E545" s="59"/>
      <c r="F545" s="59"/>
      <c r="G545" s="59"/>
      <c r="H545" s="61"/>
    </row>
    <row r="546" ht="14.25" customHeight="1">
      <c r="A546" s="59"/>
      <c r="B546" s="59"/>
      <c r="C546" s="59"/>
      <c r="D546" s="59"/>
      <c r="E546" s="59"/>
      <c r="F546" s="59"/>
      <c r="G546" s="59"/>
      <c r="H546" s="61"/>
    </row>
    <row r="547" ht="14.25" customHeight="1">
      <c r="A547" s="59"/>
      <c r="B547" s="59"/>
      <c r="C547" s="59"/>
      <c r="D547" s="59"/>
      <c r="E547" s="59"/>
      <c r="F547" s="59"/>
      <c r="G547" s="59"/>
      <c r="H547" s="61"/>
    </row>
    <row r="548" ht="14.25" customHeight="1">
      <c r="A548" s="59"/>
      <c r="B548" s="59"/>
      <c r="C548" s="59"/>
      <c r="D548" s="59"/>
      <c r="E548" s="59"/>
      <c r="F548" s="59"/>
      <c r="G548" s="59"/>
      <c r="H548" s="61"/>
    </row>
    <row r="549" ht="14.25" customHeight="1">
      <c r="A549" s="59"/>
      <c r="B549" s="59"/>
      <c r="C549" s="59"/>
      <c r="D549" s="59"/>
      <c r="E549" s="59"/>
      <c r="F549" s="59"/>
      <c r="G549" s="59"/>
      <c r="H549" s="61"/>
    </row>
    <row r="550" ht="14.25" customHeight="1">
      <c r="A550" s="59"/>
      <c r="B550" s="59"/>
      <c r="C550" s="59"/>
      <c r="D550" s="59"/>
      <c r="E550" s="59"/>
      <c r="F550" s="59"/>
      <c r="G550" s="59"/>
      <c r="H550" s="61"/>
    </row>
    <row r="551" ht="14.25" customHeight="1">
      <c r="A551" s="59"/>
      <c r="B551" s="59"/>
      <c r="C551" s="59"/>
      <c r="D551" s="59"/>
      <c r="E551" s="59"/>
      <c r="F551" s="59"/>
      <c r="G551" s="59"/>
      <c r="H551" s="61"/>
    </row>
    <row r="552" ht="14.25" customHeight="1">
      <c r="A552" s="59"/>
      <c r="B552" s="59"/>
      <c r="C552" s="59"/>
      <c r="D552" s="59"/>
      <c r="E552" s="59"/>
      <c r="F552" s="59"/>
      <c r="G552" s="59"/>
      <c r="H552" s="61"/>
    </row>
    <row r="553" ht="14.25" customHeight="1">
      <c r="A553" s="59"/>
      <c r="B553" s="59"/>
      <c r="C553" s="59"/>
      <c r="D553" s="59"/>
      <c r="E553" s="59"/>
      <c r="F553" s="59"/>
      <c r="G553" s="59"/>
      <c r="H553" s="61"/>
    </row>
    <row r="554" ht="14.25" customHeight="1">
      <c r="A554" s="59"/>
      <c r="B554" s="59"/>
      <c r="C554" s="59"/>
      <c r="D554" s="59"/>
      <c r="E554" s="59"/>
      <c r="F554" s="59"/>
      <c r="G554" s="59"/>
      <c r="H554" s="61"/>
    </row>
    <row r="555" ht="14.25" customHeight="1">
      <c r="A555" s="59"/>
      <c r="B555" s="59"/>
      <c r="C555" s="59"/>
      <c r="D555" s="59"/>
      <c r="E555" s="59"/>
      <c r="F555" s="59"/>
      <c r="G555" s="59"/>
      <c r="H555" s="61"/>
    </row>
    <row r="556" ht="14.25" customHeight="1">
      <c r="A556" s="59"/>
      <c r="B556" s="59"/>
      <c r="C556" s="59"/>
      <c r="D556" s="59"/>
      <c r="E556" s="59"/>
      <c r="F556" s="59"/>
      <c r="G556" s="59"/>
      <c r="H556" s="61"/>
    </row>
    <row r="557" ht="14.25" customHeight="1">
      <c r="A557" s="59"/>
      <c r="B557" s="59"/>
      <c r="C557" s="59"/>
      <c r="D557" s="59"/>
      <c r="E557" s="59"/>
      <c r="F557" s="59"/>
      <c r="G557" s="59"/>
      <c r="H557" s="61"/>
    </row>
    <row r="558" ht="14.25" customHeight="1">
      <c r="A558" s="59"/>
      <c r="B558" s="59"/>
      <c r="C558" s="59"/>
      <c r="D558" s="59"/>
      <c r="E558" s="59"/>
      <c r="F558" s="59"/>
      <c r="G558" s="59"/>
      <c r="H558" s="61"/>
    </row>
    <row r="559" ht="14.25" customHeight="1">
      <c r="A559" s="59"/>
      <c r="B559" s="59"/>
      <c r="C559" s="59"/>
      <c r="D559" s="59"/>
      <c r="E559" s="59"/>
      <c r="F559" s="59"/>
      <c r="G559" s="59"/>
      <c r="H559" s="61"/>
    </row>
    <row r="560" ht="14.25" customHeight="1">
      <c r="A560" s="59"/>
      <c r="B560" s="59"/>
      <c r="C560" s="59"/>
      <c r="D560" s="59"/>
      <c r="E560" s="59"/>
      <c r="F560" s="59"/>
      <c r="G560" s="59"/>
      <c r="H560" s="61"/>
    </row>
    <row r="561" ht="14.25" customHeight="1">
      <c r="A561" s="59"/>
      <c r="B561" s="59"/>
      <c r="C561" s="59"/>
      <c r="D561" s="59"/>
      <c r="E561" s="59"/>
      <c r="F561" s="59"/>
      <c r="G561" s="59"/>
      <c r="H561" s="61"/>
    </row>
    <row r="562" ht="14.25" customHeight="1">
      <c r="A562" s="59"/>
      <c r="B562" s="59"/>
      <c r="C562" s="59"/>
      <c r="D562" s="59"/>
      <c r="E562" s="59"/>
      <c r="F562" s="59"/>
      <c r="G562" s="59"/>
      <c r="H562" s="61"/>
    </row>
    <row r="563" ht="14.25" customHeight="1">
      <c r="A563" s="59"/>
      <c r="B563" s="59"/>
      <c r="C563" s="59"/>
      <c r="D563" s="59"/>
      <c r="E563" s="59"/>
      <c r="F563" s="59"/>
      <c r="G563" s="59"/>
      <c r="H563" s="61"/>
    </row>
    <row r="564" ht="14.25" customHeight="1">
      <c r="A564" s="59"/>
      <c r="B564" s="59"/>
      <c r="C564" s="59"/>
      <c r="D564" s="59"/>
      <c r="E564" s="59"/>
      <c r="F564" s="59"/>
      <c r="G564" s="59"/>
      <c r="H564" s="61"/>
    </row>
    <row r="565" ht="14.25" customHeight="1">
      <c r="A565" s="59"/>
      <c r="B565" s="59"/>
      <c r="C565" s="59"/>
      <c r="D565" s="59"/>
      <c r="E565" s="59"/>
      <c r="F565" s="59"/>
      <c r="G565" s="59"/>
      <c r="H565" s="61"/>
    </row>
    <row r="566" ht="14.25" customHeight="1">
      <c r="A566" s="59"/>
      <c r="B566" s="59"/>
      <c r="C566" s="59"/>
      <c r="D566" s="59"/>
      <c r="E566" s="59"/>
      <c r="F566" s="59"/>
      <c r="G566" s="59"/>
      <c r="H566" s="61"/>
    </row>
    <row r="567" ht="14.25" customHeight="1">
      <c r="A567" s="59"/>
      <c r="B567" s="59"/>
      <c r="C567" s="59"/>
      <c r="D567" s="59"/>
      <c r="E567" s="59"/>
      <c r="F567" s="59"/>
      <c r="G567" s="59"/>
      <c r="H567" s="61"/>
    </row>
    <row r="568" ht="14.25" customHeight="1">
      <c r="A568" s="59"/>
      <c r="B568" s="59"/>
      <c r="C568" s="59"/>
      <c r="D568" s="59"/>
      <c r="E568" s="59"/>
      <c r="F568" s="59"/>
      <c r="G568" s="59"/>
      <c r="H568" s="61"/>
    </row>
    <row r="569" ht="14.25" customHeight="1">
      <c r="A569" s="59"/>
      <c r="B569" s="59"/>
      <c r="C569" s="59"/>
      <c r="D569" s="59"/>
      <c r="E569" s="59"/>
      <c r="F569" s="59"/>
      <c r="G569" s="59"/>
      <c r="H569" s="61"/>
    </row>
    <row r="570" ht="14.25" customHeight="1">
      <c r="A570" s="59"/>
      <c r="B570" s="59"/>
      <c r="C570" s="59"/>
      <c r="D570" s="59"/>
      <c r="E570" s="59"/>
      <c r="F570" s="59"/>
      <c r="G570" s="59"/>
      <c r="H570" s="61"/>
    </row>
    <row r="571" ht="14.25" customHeight="1">
      <c r="A571" s="59"/>
      <c r="B571" s="59"/>
      <c r="C571" s="59"/>
      <c r="D571" s="59"/>
      <c r="E571" s="59"/>
      <c r="F571" s="59"/>
      <c r="G571" s="59"/>
      <c r="H571" s="61"/>
    </row>
    <row r="572" ht="14.25" customHeight="1">
      <c r="A572" s="59"/>
      <c r="B572" s="59"/>
      <c r="C572" s="59"/>
      <c r="D572" s="59"/>
      <c r="E572" s="59"/>
      <c r="F572" s="59"/>
      <c r="G572" s="59"/>
      <c r="H572" s="61"/>
    </row>
    <row r="573" ht="14.25" customHeight="1">
      <c r="A573" s="59"/>
      <c r="B573" s="59"/>
      <c r="C573" s="59"/>
      <c r="D573" s="59"/>
      <c r="E573" s="59"/>
      <c r="F573" s="59"/>
      <c r="G573" s="59"/>
      <c r="H573" s="61"/>
    </row>
    <row r="574" ht="14.25" customHeight="1">
      <c r="A574" s="59"/>
      <c r="B574" s="59"/>
      <c r="C574" s="59"/>
      <c r="D574" s="59"/>
      <c r="E574" s="59"/>
      <c r="F574" s="59"/>
      <c r="G574" s="59"/>
      <c r="H574" s="61"/>
    </row>
    <row r="575" ht="14.25" customHeight="1">
      <c r="A575" s="59"/>
      <c r="B575" s="59"/>
      <c r="C575" s="59"/>
      <c r="D575" s="59"/>
      <c r="E575" s="59"/>
      <c r="F575" s="59"/>
      <c r="G575" s="59"/>
      <c r="H575" s="61"/>
    </row>
    <row r="576" ht="14.25" customHeight="1">
      <c r="A576" s="59"/>
      <c r="B576" s="59"/>
      <c r="C576" s="59"/>
      <c r="D576" s="59"/>
      <c r="E576" s="59"/>
      <c r="F576" s="59"/>
      <c r="G576" s="59"/>
      <c r="H576" s="61"/>
    </row>
    <row r="577" ht="14.25" customHeight="1">
      <c r="A577" s="59"/>
      <c r="B577" s="59"/>
      <c r="C577" s="59"/>
      <c r="D577" s="59"/>
      <c r="E577" s="59"/>
      <c r="F577" s="59"/>
      <c r="G577" s="59"/>
      <c r="H577" s="61"/>
    </row>
    <row r="578" ht="14.25" customHeight="1">
      <c r="A578" s="59"/>
      <c r="B578" s="59"/>
      <c r="C578" s="59"/>
      <c r="D578" s="59"/>
      <c r="E578" s="59"/>
      <c r="F578" s="59"/>
      <c r="G578" s="59"/>
      <c r="H578" s="61"/>
    </row>
    <row r="579" ht="14.25" customHeight="1">
      <c r="A579" s="59"/>
      <c r="B579" s="59"/>
      <c r="C579" s="59"/>
      <c r="D579" s="59"/>
      <c r="E579" s="59"/>
      <c r="F579" s="59"/>
      <c r="G579" s="59"/>
      <c r="H579" s="61"/>
    </row>
    <row r="580" ht="14.25" customHeight="1">
      <c r="A580" s="59"/>
      <c r="B580" s="59"/>
      <c r="C580" s="59"/>
      <c r="D580" s="59"/>
      <c r="E580" s="59"/>
      <c r="F580" s="59"/>
      <c r="G580" s="59"/>
      <c r="H580" s="61"/>
    </row>
    <row r="581" ht="14.25" customHeight="1">
      <c r="A581" s="59"/>
      <c r="B581" s="59"/>
      <c r="C581" s="59"/>
      <c r="D581" s="59"/>
      <c r="E581" s="59"/>
      <c r="F581" s="59"/>
      <c r="G581" s="59"/>
      <c r="H581" s="61"/>
    </row>
    <row r="582" ht="14.25" customHeight="1">
      <c r="A582" s="59"/>
      <c r="B582" s="59"/>
      <c r="C582" s="59"/>
      <c r="D582" s="59"/>
      <c r="E582" s="59"/>
      <c r="F582" s="59"/>
      <c r="G582" s="59"/>
      <c r="H582" s="61"/>
    </row>
    <row r="583" ht="14.25" customHeight="1">
      <c r="A583" s="59"/>
      <c r="B583" s="59"/>
      <c r="C583" s="59"/>
      <c r="D583" s="59"/>
      <c r="E583" s="59"/>
      <c r="F583" s="59"/>
      <c r="G583" s="59"/>
      <c r="H583" s="61"/>
    </row>
    <row r="584" ht="14.25" customHeight="1">
      <c r="A584" s="59"/>
      <c r="B584" s="59"/>
      <c r="C584" s="59"/>
      <c r="D584" s="59"/>
      <c r="E584" s="59"/>
      <c r="F584" s="59"/>
      <c r="G584" s="59"/>
      <c r="H584" s="61"/>
    </row>
    <row r="585" ht="14.25" customHeight="1">
      <c r="A585" s="59"/>
      <c r="B585" s="59"/>
      <c r="C585" s="59"/>
      <c r="D585" s="59"/>
      <c r="E585" s="59"/>
      <c r="F585" s="59"/>
      <c r="G585" s="59"/>
      <c r="H585" s="61"/>
    </row>
    <row r="586" ht="14.25" customHeight="1">
      <c r="A586" s="59"/>
      <c r="B586" s="59"/>
      <c r="C586" s="59"/>
      <c r="D586" s="59"/>
      <c r="E586" s="59"/>
      <c r="F586" s="59"/>
      <c r="G586" s="59"/>
      <c r="H586" s="61"/>
    </row>
    <row r="587" ht="14.25" customHeight="1">
      <c r="A587" s="59"/>
      <c r="B587" s="59"/>
      <c r="C587" s="59"/>
      <c r="D587" s="59"/>
      <c r="E587" s="59"/>
      <c r="F587" s="59"/>
      <c r="G587" s="59"/>
      <c r="H587" s="61"/>
    </row>
    <row r="588" ht="14.25" customHeight="1">
      <c r="A588" s="59"/>
      <c r="B588" s="59"/>
      <c r="C588" s="59"/>
      <c r="D588" s="59"/>
      <c r="E588" s="59"/>
      <c r="F588" s="59"/>
      <c r="G588" s="59"/>
      <c r="H588" s="61"/>
    </row>
    <row r="589" ht="14.25" customHeight="1">
      <c r="A589" s="59"/>
      <c r="B589" s="59"/>
      <c r="C589" s="59"/>
      <c r="D589" s="59"/>
      <c r="E589" s="59"/>
      <c r="F589" s="59"/>
      <c r="G589" s="59"/>
      <c r="H589" s="61"/>
    </row>
    <row r="590" ht="14.25" customHeight="1">
      <c r="A590" s="59"/>
      <c r="B590" s="59"/>
      <c r="C590" s="59"/>
      <c r="D590" s="59"/>
      <c r="E590" s="59"/>
      <c r="F590" s="59"/>
      <c r="G590" s="59"/>
      <c r="H590" s="61"/>
    </row>
    <row r="591" ht="14.25" customHeight="1">
      <c r="A591" s="59"/>
      <c r="B591" s="59"/>
      <c r="C591" s="59"/>
      <c r="D591" s="59"/>
      <c r="E591" s="59"/>
      <c r="F591" s="59"/>
      <c r="G591" s="59"/>
      <c r="H591" s="61"/>
    </row>
    <row r="592" ht="14.25" customHeight="1">
      <c r="A592" s="59"/>
      <c r="B592" s="59"/>
      <c r="C592" s="59"/>
      <c r="D592" s="59"/>
      <c r="E592" s="59"/>
      <c r="F592" s="59"/>
      <c r="G592" s="59"/>
      <c r="H592" s="61"/>
    </row>
    <row r="593" ht="14.25" customHeight="1">
      <c r="A593" s="59"/>
      <c r="B593" s="59"/>
      <c r="C593" s="59"/>
      <c r="D593" s="59"/>
      <c r="E593" s="59"/>
      <c r="F593" s="59"/>
      <c r="G593" s="59"/>
      <c r="H593" s="61"/>
    </row>
    <row r="594" ht="14.25" customHeight="1">
      <c r="A594" s="59"/>
      <c r="B594" s="59"/>
      <c r="C594" s="59"/>
      <c r="D594" s="59"/>
      <c r="E594" s="59"/>
      <c r="F594" s="59"/>
      <c r="G594" s="59"/>
      <c r="H594" s="61"/>
    </row>
    <row r="595" ht="14.25" customHeight="1">
      <c r="A595" s="59"/>
      <c r="B595" s="59"/>
      <c r="C595" s="59"/>
      <c r="D595" s="59"/>
      <c r="E595" s="59"/>
      <c r="F595" s="59"/>
      <c r="G595" s="59"/>
      <c r="H595" s="61"/>
    </row>
    <row r="596" ht="14.25" customHeight="1">
      <c r="A596" s="59"/>
      <c r="B596" s="59"/>
      <c r="C596" s="59"/>
      <c r="D596" s="59"/>
      <c r="E596" s="59"/>
      <c r="F596" s="59"/>
      <c r="G596" s="59"/>
      <c r="H596" s="61"/>
    </row>
    <row r="597" ht="14.25" customHeight="1">
      <c r="A597" s="59"/>
      <c r="B597" s="59"/>
      <c r="C597" s="59"/>
      <c r="D597" s="59"/>
      <c r="E597" s="59"/>
      <c r="F597" s="59"/>
      <c r="G597" s="59"/>
      <c r="H597" s="61"/>
    </row>
    <row r="598" ht="14.25" customHeight="1">
      <c r="A598" s="59"/>
      <c r="B598" s="59"/>
      <c r="C598" s="59"/>
      <c r="D598" s="59"/>
      <c r="E598" s="59"/>
      <c r="F598" s="59"/>
      <c r="G598" s="59"/>
      <c r="H598" s="61"/>
    </row>
    <row r="599" ht="14.25" customHeight="1">
      <c r="A599" s="59"/>
      <c r="B599" s="59"/>
      <c r="C599" s="59"/>
      <c r="D599" s="59"/>
      <c r="E599" s="59"/>
      <c r="F599" s="59"/>
      <c r="G599" s="59"/>
      <c r="H599" s="61"/>
    </row>
    <row r="600" ht="14.25" customHeight="1">
      <c r="A600" s="59"/>
      <c r="B600" s="59"/>
      <c r="C600" s="59"/>
      <c r="D600" s="59"/>
      <c r="E600" s="59"/>
      <c r="F600" s="59"/>
      <c r="G600" s="59"/>
      <c r="H600" s="61"/>
    </row>
    <row r="601" ht="14.25" customHeight="1">
      <c r="A601" s="59"/>
      <c r="B601" s="59"/>
      <c r="C601" s="59"/>
      <c r="D601" s="59"/>
      <c r="E601" s="59"/>
      <c r="F601" s="59"/>
      <c r="G601" s="59"/>
      <c r="H601" s="61"/>
    </row>
    <row r="602" ht="14.25" customHeight="1">
      <c r="A602" s="59"/>
      <c r="B602" s="59"/>
      <c r="C602" s="59"/>
      <c r="D602" s="59"/>
      <c r="E602" s="59"/>
      <c r="F602" s="59"/>
      <c r="G602" s="59"/>
      <c r="H602" s="61"/>
    </row>
    <row r="603" ht="14.25" customHeight="1">
      <c r="A603" s="59"/>
      <c r="B603" s="59"/>
      <c r="C603" s="59"/>
      <c r="D603" s="59"/>
      <c r="E603" s="59"/>
      <c r="F603" s="59"/>
      <c r="G603" s="59"/>
      <c r="H603" s="61"/>
    </row>
    <row r="604" ht="14.25" customHeight="1">
      <c r="A604" s="59"/>
      <c r="B604" s="59"/>
      <c r="C604" s="59"/>
      <c r="D604" s="59"/>
      <c r="E604" s="59"/>
      <c r="F604" s="59"/>
      <c r="G604" s="59"/>
      <c r="H604" s="61"/>
    </row>
    <row r="605" ht="14.25" customHeight="1">
      <c r="A605" s="59"/>
      <c r="B605" s="59"/>
      <c r="C605" s="59"/>
      <c r="D605" s="59"/>
      <c r="E605" s="59"/>
      <c r="F605" s="59"/>
      <c r="G605" s="59"/>
      <c r="H605" s="61"/>
    </row>
    <row r="606" ht="14.25" customHeight="1">
      <c r="A606" s="59"/>
      <c r="B606" s="59"/>
      <c r="C606" s="59"/>
      <c r="D606" s="59"/>
      <c r="E606" s="59"/>
      <c r="F606" s="59"/>
      <c r="G606" s="59"/>
      <c r="H606" s="61"/>
    </row>
    <row r="607" ht="14.25" customHeight="1">
      <c r="A607" s="59"/>
      <c r="B607" s="59"/>
      <c r="C607" s="59"/>
      <c r="D607" s="59"/>
      <c r="E607" s="59"/>
      <c r="F607" s="59"/>
      <c r="G607" s="59"/>
      <c r="H607" s="61"/>
    </row>
    <row r="608" ht="14.25" customHeight="1">
      <c r="A608" s="59"/>
      <c r="B608" s="59"/>
      <c r="C608" s="59"/>
      <c r="D608" s="59"/>
      <c r="E608" s="59"/>
      <c r="F608" s="59"/>
      <c r="G608" s="59"/>
      <c r="H608" s="61"/>
    </row>
    <row r="609" ht="14.25" customHeight="1">
      <c r="A609" s="59"/>
      <c r="B609" s="59"/>
      <c r="C609" s="59"/>
      <c r="D609" s="59"/>
      <c r="E609" s="59"/>
      <c r="F609" s="59"/>
      <c r="G609" s="59"/>
      <c r="H609" s="61"/>
    </row>
    <row r="610" ht="14.25" customHeight="1">
      <c r="A610" s="59"/>
      <c r="B610" s="59"/>
      <c r="C610" s="59"/>
      <c r="D610" s="59"/>
      <c r="E610" s="59"/>
      <c r="F610" s="59"/>
      <c r="G610" s="59"/>
      <c r="H610" s="61"/>
    </row>
    <row r="611" ht="14.25" customHeight="1">
      <c r="A611" s="59"/>
      <c r="B611" s="59"/>
      <c r="C611" s="59"/>
      <c r="D611" s="59"/>
      <c r="E611" s="59"/>
      <c r="F611" s="59"/>
      <c r="G611" s="59"/>
      <c r="H611" s="61"/>
    </row>
    <row r="612" ht="14.25" customHeight="1">
      <c r="A612" s="59"/>
      <c r="B612" s="59"/>
      <c r="C612" s="59"/>
      <c r="D612" s="59"/>
      <c r="E612" s="59"/>
      <c r="F612" s="59"/>
      <c r="G612" s="59"/>
      <c r="H612" s="61"/>
    </row>
    <row r="613" ht="14.25" customHeight="1">
      <c r="A613" s="59"/>
      <c r="B613" s="59"/>
      <c r="C613" s="59"/>
      <c r="D613" s="59"/>
      <c r="E613" s="59"/>
      <c r="F613" s="59"/>
      <c r="G613" s="59"/>
      <c r="H613" s="61"/>
    </row>
    <row r="614" ht="14.25" customHeight="1">
      <c r="A614" s="59"/>
      <c r="B614" s="59"/>
      <c r="C614" s="59"/>
      <c r="D614" s="59"/>
      <c r="E614" s="59"/>
      <c r="F614" s="59"/>
      <c r="G614" s="59"/>
      <c r="H614" s="61"/>
    </row>
    <row r="615" ht="14.25" customHeight="1">
      <c r="A615" s="59"/>
      <c r="B615" s="59"/>
      <c r="C615" s="59"/>
      <c r="D615" s="59"/>
      <c r="E615" s="59"/>
      <c r="F615" s="59"/>
      <c r="G615" s="59"/>
      <c r="H615" s="61"/>
    </row>
    <row r="616" ht="14.25" customHeight="1">
      <c r="A616" s="59"/>
      <c r="B616" s="59"/>
      <c r="C616" s="59"/>
      <c r="D616" s="59"/>
      <c r="E616" s="59"/>
      <c r="F616" s="59"/>
      <c r="G616" s="59"/>
      <c r="H616" s="61"/>
    </row>
    <row r="617" ht="14.25" customHeight="1">
      <c r="A617" s="59"/>
      <c r="B617" s="59"/>
      <c r="C617" s="59"/>
      <c r="D617" s="59"/>
      <c r="E617" s="59"/>
      <c r="F617" s="59"/>
      <c r="G617" s="59"/>
      <c r="H617" s="61"/>
    </row>
    <row r="618" ht="14.25" customHeight="1">
      <c r="A618" s="59"/>
      <c r="B618" s="59"/>
      <c r="C618" s="59"/>
      <c r="D618" s="59"/>
      <c r="E618" s="59"/>
      <c r="F618" s="59"/>
      <c r="G618" s="59"/>
      <c r="H618" s="61"/>
    </row>
    <row r="619" ht="14.25" customHeight="1">
      <c r="A619" s="59"/>
      <c r="B619" s="59"/>
      <c r="C619" s="59"/>
      <c r="D619" s="59"/>
      <c r="E619" s="59"/>
      <c r="F619" s="59"/>
      <c r="G619" s="59"/>
      <c r="H619" s="61"/>
    </row>
    <row r="620" ht="14.25" customHeight="1">
      <c r="A620" s="59"/>
      <c r="B620" s="59"/>
      <c r="C620" s="59"/>
      <c r="D620" s="59"/>
      <c r="E620" s="59"/>
      <c r="F620" s="59"/>
      <c r="G620" s="59"/>
      <c r="H620" s="61"/>
    </row>
    <row r="621" ht="14.25" customHeight="1">
      <c r="A621" s="59"/>
      <c r="B621" s="59"/>
      <c r="C621" s="59"/>
      <c r="D621" s="59"/>
      <c r="E621" s="59"/>
      <c r="F621" s="59"/>
      <c r="G621" s="59"/>
      <c r="H621" s="61"/>
    </row>
    <row r="622" ht="14.25" customHeight="1">
      <c r="A622" s="59"/>
      <c r="B622" s="59"/>
      <c r="C622" s="59"/>
      <c r="D622" s="59"/>
      <c r="E622" s="59"/>
      <c r="F622" s="59"/>
      <c r="G622" s="59"/>
      <c r="H622" s="61"/>
    </row>
    <row r="623" ht="14.25" customHeight="1">
      <c r="A623" s="59"/>
      <c r="B623" s="59"/>
      <c r="C623" s="59"/>
      <c r="D623" s="59"/>
      <c r="E623" s="59"/>
      <c r="F623" s="59"/>
      <c r="G623" s="59"/>
      <c r="H623" s="61"/>
    </row>
    <row r="624" ht="14.25" customHeight="1">
      <c r="A624" s="59"/>
      <c r="B624" s="59"/>
      <c r="C624" s="59"/>
      <c r="D624" s="59"/>
      <c r="E624" s="59"/>
      <c r="F624" s="59"/>
      <c r="G624" s="59"/>
      <c r="H624" s="61"/>
    </row>
    <row r="625" ht="14.25" customHeight="1">
      <c r="A625" s="59"/>
      <c r="B625" s="59"/>
      <c r="C625" s="59"/>
      <c r="D625" s="59"/>
      <c r="E625" s="59"/>
      <c r="F625" s="59"/>
      <c r="G625" s="59"/>
      <c r="H625" s="61"/>
    </row>
    <row r="626" ht="14.25" customHeight="1">
      <c r="A626" s="59"/>
      <c r="B626" s="59"/>
      <c r="C626" s="59"/>
      <c r="D626" s="59"/>
      <c r="E626" s="59"/>
      <c r="F626" s="59"/>
      <c r="G626" s="59"/>
      <c r="H626" s="61"/>
    </row>
    <row r="627" ht="14.25" customHeight="1">
      <c r="A627" s="59"/>
      <c r="B627" s="59"/>
      <c r="C627" s="59"/>
      <c r="D627" s="59"/>
      <c r="E627" s="59"/>
      <c r="F627" s="59"/>
      <c r="G627" s="59"/>
      <c r="H627" s="61"/>
    </row>
    <row r="628" ht="14.25" customHeight="1">
      <c r="A628" s="59"/>
      <c r="B628" s="59"/>
      <c r="C628" s="59"/>
      <c r="D628" s="59"/>
      <c r="E628" s="59"/>
      <c r="F628" s="59"/>
      <c r="G628" s="59"/>
      <c r="H628" s="61"/>
    </row>
    <row r="629" ht="14.25" customHeight="1">
      <c r="A629" s="59"/>
      <c r="B629" s="59"/>
      <c r="C629" s="59"/>
      <c r="D629" s="59"/>
      <c r="E629" s="59"/>
      <c r="F629" s="59"/>
      <c r="G629" s="59"/>
      <c r="H629" s="61"/>
    </row>
    <row r="630" ht="14.25" customHeight="1">
      <c r="A630" s="59"/>
      <c r="B630" s="59"/>
      <c r="C630" s="59"/>
      <c r="D630" s="59"/>
      <c r="E630" s="59"/>
      <c r="F630" s="59"/>
      <c r="G630" s="59"/>
      <c r="H630" s="61"/>
    </row>
    <row r="631" ht="14.25" customHeight="1">
      <c r="A631" s="59"/>
      <c r="B631" s="59"/>
      <c r="C631" s="59"/>
      <c r="D631" s="59"/>
      <c r="E631" s="59"/>
      <c r="F631" s="59"/>
      <c r="G631" s="59"/>
      <c r="H631" s="61"/>
    </row>
    <row r="632" ht="14.25" customHeight="1">
      <c r="A632" s="59"/>
      <c r="B632" s="59"/>
      <c r="C632" s="59"/>
      <c r="D632" s="59"/>
      <c r="E632" s="59"/>
      <c r="F632" s="59"/>
      <c r="G632" s="59"/>
      <c r="H632" s="61"/>
    </row>
    <row r="633" ht="14.25" customHeight="1">
      <c r="A633" s="59"/>
      <c r="B633" s="59"/>
      <c r="C633" s="59"/>
      <c r="D633" s="59"/>
      <c r="E633" s="59"/>
      <c r="F633" s="59"/>
      <c r="G633" s="59"/>
      <c r="H633" s="61"/>
    </row>
    <row r="634" ht="14.25" customHeight="1">
      <c r="A634" s="59"/>
      <c r="B634" s="59"/>
      <c r="C634" s="59"/>
      <c r="D634" s="59"/>
      <c r="E634" s="59"/>
      <c r="F634" s="59"/>
      <c r="G634" s="59"/>
      <c r="H634" s="61"/>
    </row>
    <row r="635" ht="14.25" customHeight="1">
      <c r="A635" s="59"/>
      <c r="B635" s="59"/>
      <c r="C635" s="59"/>
      <c r="D635" s="59"/>
      <c r="E635" s="59"/>
      <c r="F635" s="59"/>
      <c r="G635" s="59"/>
      <c r="H635" s="61"/>
    </row>
    <row r="636" ht="14.25" customHeight="1">
      <c r="A636" s="59"/>
      <c r="B636" s="59"/>
      <c r="C636" s="59"/>
      <c r="D636" s="59"/>
      <c r="E636" s="59"/>
      <c r="F636" s="59"/>
      <c r="G636" s="59"/>
      <c r="H636" s="61"/>
    </row>
    <row r="637" ht="14.25" customHeight="1">
      <c r="A637" s="59"/>
      <c r="B637" s="59"/>
      <c r="C637" s="59"/>
      <c r="D637" s="59"/>
      <c r="E637" s="59"/>
      <c r="F637" s="59"/>
      <c r="G637" s="59"/>
      <c r="H637" s="61"/>
    </row>
    <row r="638" ht="14.25" customHeight="1">
      <c r="A638" s="59"/>
      <c r="B638" s="59"/>
      <c r="C638" s="59"/>
      <c r="D638" s="59"/>
      <c r="E638" s="59"/>
      <c r="F638" s="59"/>
      <c r="G638" s="59"/>
      <c r="H638" s="61"/>
    </row>
    <row r="639" ht="14.25" customHeight="1">
      <c r="A639" s="59"/>
      <c r="B639" s="59"/>
      <c r="C639" s="59"/>
      <c r="D639" s="59"/>
      <c r="E639" s="59"/>
      <c r="F639" s="59"/>
      <c r="G639" s="59"/>
      <c r="H639" s="61"/>
    </row>
    <row r="640" ht="14.25" customHeight="1">
      <c r="A640" s="59"/>
      <c r="B640" s="59"/>
      <c r="C640" s="59"/>
      <c r="D640" s="59"/>
      <c r="E640" s="59"/>
      <c r="F640" s="59"/>
      <c r="G640" s="59"/>
      <c r="H640" s="61"/>
    </row>
    <row r="641" ht="14.25" customHeight="1">
      <c r="A641" s="59"/>
      <c r="B641" s="59"/>
      <c r="C641" s="59"/>
      <c r="D641" s="59"/>
      <c r="E641" s="59"/>
      <c r="F641" s="59"/>
      <c r="G641" s="59"/>
      <c r="H641" s="61"/>
    </row>
    <row r="642" ht="14.25" customHeight="1">
      <c r="A642" s="59"/>
      <c r="B642" s="59"/>
      <c r="C642" s="59"/>
      <c r="D642" s="59"/>
      <c r="E642" s="59"/>
      <c r="F642" s="59"/>
      <c r="G642" s="59"/>
      <c r="H642" s="61"/>
    </row>
    <row r="643" ht="14.25" customHeight="1">
      <c r="A643" s="59"/>
      <c r="B643" s="59"/>
      <c r="C643" s="59"/>
      <c r="D643" s="59"/>
      <c r="E643" s="59"/>
      <c r="F643" s="59"/>
      <c r="G643" s="59"/>
      <c r="H643" s="61"/>
    </row>
    <row r="644" ht="14.25" customHeight="1">
      <c r="A644" s="59"/>
      <c r="B644" s="59"/>
      <c r="C644" s="59"/>
      <c r="D644" s="59"/>
      <c r="E644" s="59"/>
      <c r="F644" s="59"/>
      <c r="G644" s="59"/>
      <c r="H644" s="61"/>
    </row>
    <row r="645" ht="14.25" customHeight="1">
      <c r="A645" s="59"/>
      <c r="B645" s="59"/>
      <c r="C645" s="59"/>
      <c r="D645" s="59"/>
      <c r="E645" s="59"/>
      <c r="F645" s="59"/>
      <c r="G645" s="59"/>
      <c r="H645" s="61"/>
    </row>
    <row r="646" ht="14.25" customHeight="1">
      <c r="A646" s="59"/>
      <c r="B646" s="59"/>
      <c r="C646" s="59"/>
      <c r="D646" s="59"/>
      <c r="E646" s="59"/>
      <c r="F646" s="59"/>
      <c r="G646" s="59"/>
      <c r="H646" s="61"/>
    </row>
    <row r="647" ht="14.25" customHeight="1">
      <c r="A647" s="59"/>
      <c r="B647" s="59"/>
      <c r="C647" s="59"/>
      <c r="D647" s="59"/>
      <c r="E647" s="59"/>
      <c r="F647" s="59"/>
      <c r="G647" s="59"/>
      <c r="H647" s="61"/>
    </row>
    <row r="648" ht="14.25" customHeight="1">
      <c r="A648" s="59"/>
      <c r="B648" s="59"/>
      <c r="C648" s="59"/>
      <c r="D648" s="59"/>
      <c r="E648" s="59"/>
      <c r="F648" s="59"/>
      <c r="G648" s="59"/>
      <c r="H648" s="61"/>
    </row>
    <row r="649" ht="14.25" customHeight="1">
      <c r="A649" s="59"/>
      <c r="B649" s="59"/>
      <c r="C649" s="59"/>
      <c r="D649" s="59"/>
      <c r="E649" s="59"/>
      <c r="F649" s="59"/>
      <c r="G649" s="59"/>
      <c r="H649" s="61"/>
    </row>
    <row r="650" ht="14.25" customHeight="1">
      <c r="A650" s="59"/>
      <c r="B650" s="59"/>
      <c r="C650" s="59"/>
      <c r="D650" s="59"/>
      <c r="E650" s="59"/>
      <c r="F650" s="59"/>
      <c r="G650" s="59"/>
      <c r="H650" s="61"/>
    </row>
    <row r="651" ht="14.25" customHeight="1">
      <c r="A651" s="59"/>
      <c r="B651" s="59"/>
      <c r="C651" s="59"/>
      <c r="D651" s="59"/>
      <c r="E651" s="59"/>
      <c r="F651" s="59"/>
      <c r="G651" s="59"/>
      <c r="H651" s="61"/>
    </row>
    <row r="652" ht="14.25" customHeight="1">
      <c r="A652" s="59"/>
      <c r="B652" s="59"/>
      <c r="C652" s="59"/>
      <c r="D652" s="59"/>
      <c r="E652" s="59"/>
      <c r="F652" s="59"/>
      <c r="G652" s="59"/>
      <c r="H652" s="61"/>
    </row>
    <row r="653" ht="14.25" customHeight="1">
      <c r="A653" s="59"/>
      <c r="B653" s="59"/>
      <c r="C653" s="59"/>
      <c r="D653" s="59"/>
      <c r="E653" s="59"/>
      <c r="F653" s="59"/>
      <c r="G653" s="59"/>
      <c r="H653" s="61"/>
    </row>
    <row r="654" ht="14.25" customHeight="1">
      <c r="A654" s="59"/>
      <c r="B654" s="59"/>
      <c r="C654" s="59"/>
      <c r="D654" s="59"/>
      <c r="E654" s="59"/>
      <c r="F654" s="59"/>
      <c r="G654" s="59"/>
      <c r="H654" s="61"/>
    </row>
    <row r="655" ht="14.25" customHeight="1">
      <c r="A655" s="59"/>
      <c r="B655" s="59"/>
      <c r="C655" s="59"/>
      <c r="D655" s="59"/>
      <c r="E655" s="59"/>
      <c r="F655" s="59"/>
      <c r="G655" s="59"/>
      <c r="H655" s="61"/>
    </row>
    <row r="656" ht="14.25" customHeight="1">
      <c r="A656" s="59"/>
      <c r="B656" s="59"/>
      <c r="C656" s="59"/>
      <c r="D656" s="59"/>
      <c r="E656" s="59"/>
      <c r="F656" s="59"/>
      <c r="G656" s="59"/>
      <c r="H656" s="61"/>
    </row>
    <row r="657" ht="14.25" customHeight="1">
      <c r="A657" s="59"/>
      <c r="B657" s="59"/>
      <c r="C657" s="59"/>
      <c r="D657" s="59"/>
      <c r="E657" s="59"/>
      <c r="F657" s="59"/>
      <c r="G657" s="59"/>
      <c r="H657" s="61"/>
    </row>
    <row r="658" ht="14.25" customHeight="1">
      <c r="A658" s="59"/>
      <c r="B658" s="59"/>
      <c r="C658" s="59"/>
      <c r="D658" s="59"/>
      <c r="E658" s="59"/>
      <c r="F658" s="59"/>
      <c r="G658" s="59"/>
      <c r="H658" s="61"/>
    </row>
    <row r="659" ht="14.25" customHeight="1">
      <c r="A659" s="59"/>
      <c r="B659" s="59"/>
      <c r="C659" s="59"/>
      <c r="D659" s="59"/>
      <c r="E659" s="59"/>
      <c r="F659" s="59"/>
      <c r="G659" s="59"/>
      <c r="H659" s="61"/>
    </row>
    <row r="660" ht="14.25" customHeight="1">
      <c r="A660" s="59"/>
      <c r="B660" s="59"/>
      <c r="C660" s="59"/>
      <c r="D660" s="59"/>
      <c r="E660" s="59"/>
      <c r="F660" s="59"/>
      <c r="G660" s="59"/>
      <c r="H660" s="61"/>
    </row>
    <row r="661" ht="14.25" customHeight="1">
      <c r="A661" s="59"/>
      <c r="B661" s="59"/>
      <c r="C661" s="59"/>
      <c r="D661" s="59"/>
      <c r="E661" s="59"/>
      <c r="F661" s="59"/>
      <c r="G661" s="59"/>
      <c r="H661" s="61"/>
    </row>
    <row r="662" ht="14.25" customHeight="1">
      <c r="A662" s="59"/>
      <c r="B662" s="59"/>
      <c r="C662" s="59"/>
      <c r="D662" s="59"/>
      <c r="E662" s="59"/>
      <c r="F662" s="59"/>
      <c r="G662" s="59"/>
      <c r="H662" s="61"/>
    </row>
    <row r="663" ht="14.25" customHeight="1">
      <c r="A663" s="59"/>
      <c r="B663" s="59"/>
      <c r="C663" s="59"/>
      <c r="D663" s="59"/>
      <c r="E663" s="59"/>
      <c r="F663" s="59"/>
      <c r="G663" s="59"/>
      <c r="H663" s="61"/>
    </row>
    <row r="664" ht="14.25" customHeight="1">
      <c r="A664" s="59"/>
      <c r="B664" s="59"/>
      <c r="C664" s="59"/>
      <c r="D664" s="59"/>
      <c r="E664" s="59"/>
      <c r="F664" s="59"/>
      <c r="G664" s="59"/>
      <c r="H664" s="61"/>
    </row>
    <row r="665" ht="14.25" customHeight="1">
      <c r="A665" s="59"/>
      <c r="B665" s="59"/>
      <c r="C665" s="59"/>
      <c r="D665" s="59"/>
      <c r="E665" s="59"/>
      <c r="F665" s="59"/>
      <c r="G665" s="59"/>
      <c r="H665" s="61"/>
    </row>
    <row r="666" ht="14.25" customHeight="1">
      <c r="A666" s="59"/>
      <c r="B666" s="59"/>
      <c r="C666" s="59"/>
      <c r="D666" s="59"/>
      <c r="E666" s="59"/>
      <c r="F666" s="59"/>
      <c r="G666" s="59"/>
      <c r="H666" s="61"/>
    </row>
    <row r="667" ht="14.25" customHeight="1">
      <c r="A667" s="59"/>
      <c r="B667" s="59"/>
      <c r="C667" s="59"/>
      <c r="D667" s="59"/>
      <c r="E667" s="59"/>
      <c r="F667" s="59"/>
      <c r="G667" s="59"/>
      <c r="H667" s="61"/>
    </row>
    <row r="668" ht="14.25" customHeight="1">
      <c r="A668" s="59"/>
      <c r="B668" s="59"/>
      <c r="C668" s="59"/>
      <c r="D668" s="59"/>
      <c r="E668" s="59"/>
      <c r="F668" s="59"/>
      <c r="G668" s="59"/>
      <c r="H668" s="61"/>
    </row>
    <row r="669" ht="14.25" customHeight="1">
      <c r="A669" s="59"/>
      <c r="B669" s="59"/>
      <c r="C669" s="59"/>
      <c r="D669" s="59"/>
      <c r="E669" s="59"/>
      <c r="F669" s="59"/>
      <c r="G669" s="59"/>
      <c r="H669" s="61"/>
    </row>
    <row r="670" ht="14.25" customHeight="1">
      <c r="A670" s="59"/>
      <c r="B670" s="59"/>
      <c r="C670" s="59"/>
      <c r="D670" s="59"/>
      <c r="E670" s="59"/>
      <c r="F670" s="59"/>
      <c r="G670" s="59"/>
      <c r="H670" s="61"/>
    </row>
    <row r="671" ht="14.25" customHeight="1">
      <c r="A671" s="59"/>
      <c r="B671" s="59"/>
      <c r="C671" s="59"/>
      <c r="D671" s="59"/>
      <c r="E671" s="59"/>
      <c r="F671" s="59"/>
      <c r="G671" s="59"/>
      <c r="H671" s="61"/>
    </row>
    <row r="672" ht="14.25" customHeight="1">
      <c r="A672" s="59"/>
      <c r="B672" s="59"/>
      <c r="C672" s="59"/>
      <c r="D672" s="59"/>
      <c r="E672" s="59"/>
      <c r="F672" s="59"/>
      <c r="G672" s="59"/>
      <c r="H672" s="61"/>
    </row>
    <row r="673" ht="14.25" customHeight="1">
      <c r="A673" s="59"/>
      <c r="B673" s="59"/>
      <c r="C673" s="59"/>
      <c r="D673" s="59"/>
      <c r="E673" s="59"/>
      <c r="F673" s="59"/>
      <c r="G673" s="59"/>
      <c r="H673" s="61"/>
    </row>
    <row r="674" ht="14.25" customHeight="1">
      <c r="A674" s="59"/>
      <c r="B674" s="59"/>
      <c r="C674" s="59"/>
      <c r="D674" s="59"/>
      <c r="E674" s="59"/>
      <c r="F674" s="59"/>
      <c r="G674" s="59"/>
      <c r="H674" s="61"/>
    </row>
    <row r="675" ht="14.25" customHeight="1">
      <c r="A675" s="59"/>
      <c r="B675" s="59"/>
      <c r="C675" s="59"/>
      <c r="D675" s="59"/>
      <c r="E675" s="59"/>
      <c r="F675" s="59"/>
      <c r="G675" s="59"/>
      <c r="H675" s="61"/>
    </row>
    <row r="676" ht="14.25" customHeight="1">
      <c r="A676" s="59"/>
      <c r="B676" s="59"/>
      <c r="C676" s="59"/>
      <c r="D676" s="59"/>
      <c r="E676" s="59"/>
      <c r="F676" s="59"/>
      <c r="G676" s="59"/>
      <c r="H676" s="61"/>
    </row>
    <row r="677" ht="14.25" customHeight="1">
      <c r="A677" s="59"/>
      <c r="B677" s="59"/>
      <c r="C677" s="59"/>
      <c r="D677" s="59"/>
      <c r="E677" s="59"/>
      <c r="F677" s="59"/>
      <c r="G677" s="59"/>
      <c r="H677" s="61"/>
    </row>
    <row r="678" ht="14.25" customHeight="1">
      <c r="A678" s="59"/>
      <c r="B678" s="59"/>
      <c r="C678" s="59"/>
      <c r="D678" s="59"/>
      <c r="E678" s="59"/>
      <c r="F678" s="59"/>
      <c r="G678" s="59"/>
      <c r="H678" s="61"/>
    </row>
    <row r="679" ht="14.25" customHeight="1">
      <c r="A679" s="59"/>
      <c r="B679" s="59"/>
      <c r="C679" s="59"/>
      <c r="D679" s="59"/>
      <c r="E679" s="59"/>
      <c r="F679" s="59"/>
      <c r="G679" s="59"/>
      <c r="H679" s="61"/>
    </row>
    <row r="680" ht="14.25" customHeight="1">
      <c r="A680" s="59"/>
      <c r="B680" s="59"/>
      <c r="C680" s="59"/>
      <c r="D680" s="59"/>
      <c r="E680" s="59"/>
      <c r="F680" s="59"/>
      <c r="G680" s="59"/>
      <c r="H680" s="61"/>
    </row>
    <row r="681" ht="14.25" customHeight="1">
      <c r="A681" s="59"/>
      <c r="B681" s="59"/>
      <c r="C681" s="59"/>
      <c r="D681" s="59"/>
      <c r="E681" s="59"/>
      <c r="F681" s="59"/>
      <c r="G681" s="59"/>
      <c r="H681" s="61"/>
    </row>
    <row r="682" ht="14.25" customHeight="1">
      <c r="A682" s="59"/>
      <c r="B682" s="59"/>
      <c r="C682" s="59"/>
      <c r="D682" s="59"/>
      <c r="E682" s="59"/>
      <c r="F682" s="59"/>
      <c r="G682" s="59"/>
      <c r="H682" s="61"/>
    </row>
    <row r="683" ht="14.25" customHeight="1">
      <c r="A683" s="59"/>
      <c r="B683" s="59"/>
      <c r="C683" s="59"/>
      <c r="D683" s="59"/>
      <c r="E683" s="59"/>
      <c r="F683" s="59"/>
      <c r="G683" s="59"/>
      <c r="H683" s="61"/>
    </row>
    <row r="684" ht="14.25" customHeight="1">
      <c r="A684" s="59"/>
      <c r="B684" s="59"/>
      <c r="C684" s="59"/>
      <c r="D684" s="59"/>
      <c r="E684" s="59"/>
      <c r="F684" s="59"/>
      <c r="G684" s="59"/>
      <c r="H684" s="61"/>
    </row>
    <row r="685" ht="14.25" customHeight="1">
      <c r="A685" s="59"/>
      <c r="B685" s="59"/>
      <c r="C685" s="59"/>
      <c r="D685" s="59"/>
      <c r="E685" s="59"/>
      <c r="F685" s="59"/>
      <c r="G685" s="59"/>
      <c r="H685" s="61"/>
    </row>
    <row r="686" ht="14.25" customHeight="1">
      <c r="A686" s="59"/>
      <c r="B686" s="59"/>
      <c r="C686" s="59"/>
      <c r="D686" s="59"/>
      <c r="E686" s="59"/>
      <c r="F686" s="59"/>
      <c r="G686" s="59"/>
      <c r="H686" s="61"/>
    </row>
    <row r="687" ht="14.25" customHeight="1">
      <c r="A687" s="59"/>
      <c r="B687" s="59"/>
      <c r="C687" s="59"/>
      <c r="D687" s="59"/>
      <c r="E687" s="59"/>
      <c r="F687" s="59"/>
      <c r="G687" s="59"/>
      <c r="H687" s="61"/>
    </row>
    <row r="688" ht="14.25" customHeight="1">
      <c r="A688" s="59"/>
      <c r="B688" s="59"/>
      <c r="C688" s="59"/>
      <c r="D688" s="59"/>
      <c r="E688" s="59"/>
      <c r="F688" s="59"/>
      <c r="G688" s="59"/>
      <c r="H688" s="61"/>
    </row>
    <row r="689" ht="14.25" customHeight="1">
      <c r="A689" s="59"/>
      <c r="B689" s="59"/>
      <c r="C689" s="59"/>
      <c r="D689" s="59"/>
      <c r="E689" s="59"/>
      <c r="F689" s="59"/>
      <c r="G689" s="59"/>
      <c r="H689" s="61"/>
    </row>
    <row r="690" ht="14.25" customHeight="1">
      <c r="A690" s="59"/>
      <c r="B690" s="59"/>
      <c r="C690" s="59"/>
      <c r="D690" s="59"/>
      <c r="E690" s="59"/>
      <c r="F690" s="59"/>
      <c r="G690" s="59"/>
      <c r="H690" s="61"/>
    </row>
    <row r="691" ht="14.25" customHeight="1">
      <c r="A691" s="59"/>
      <c r="B691" s="59"/>
      <c r="C691" s="59"/>
      <c r="D691" s="59"/>
      <c r="E691" s="59"/>
      <c r="F691" s="59"/>
      <c r="G691" s="59"/>
      <c r="H691" s="61"/>
    </row>
    <row r="692" ht="14.25" customHeight="1">
      <c r="A692" s="59"/>
      <c r="B692" s="59"/>
      <c r="C692" s="59"/>
      <c r="D692" s="59"/>
      <c r="E692" s="59"/>
      <c r="F692" s="59"/>
      <c r="G692" s="59"/>
      <c r="H692" s="61"/>
    </row>
    <row r="693" ht="14.25" customHeight="1">
      <c r="A693" s="59"/>
      <c r="B693" s="59"/>
      <c r="C693" s="59"/>
      <c r="D693" s="59"/>
      <c r="E693" s="59"/>
      <c r="F693" s="59"/>
      <c r="G693" s="59"/>
      <c r="H693" s="61"/>
    </row>
    <row r="694" ht="14.25" customHeight="1">
      <c r="A694" s="59"/>
      <c r="B694" s="59"/>
      <c r="C694" s="59"/>
      <c r="D694" s="59"/>
      <c r="E694" s="59"/>
      <c r="F694" s="59"/>
      <c r="G694" s="59"/>
      <c r="H694" s="61"/>
    </row>
    <row r="695" ht="14.25" customHeight="1">
      <c r="A695" s="59"/>
      <c r="B695" s="59"/>
      <c r="C695" s="59"/>
      <c r="D695" s="59"/>
      <c r="E695" s="59"/>
      <c r="F695" s="59"/>
      <c r="G695" s="59"/>
      <c r="H695" s="61"/>
    </row>
    <row r="696" ht="14.25" customHeight="1">
      <c r="A696" s="59"/>
      <c r="B696" s="59"/>
      <c r="C696" s="59"/>
      <c r="D696" s="59"/>
      <c r="E696" s="59"/>
      <c r="F696" s="59"/>
      <c r="G696" s="59"/>
      <c r="H696" s="61"/>
    </row>
    <row r="697" ht="14.25" customHeight="1">
      <c r="A697" s="59"/>
      <c r="B697" s="59"/>
      <c r="C697" s="59"/>
      <c r="D697" s="59"/>
      <c r="E697" s="59"/>
      <c r="F697" s="59"/>
      <c r="G697" s="59"/>
      <c r="H697" s="61"/>
    </row>
    <row r="698" ht="14.25" customHeight="1">
      <c r="A698" s="59"/>
      <c r="B698" s="59"/>
      <c r="C698" s="59"/>
      <c r="D698" s="59"/>
      <c r="E698" s="59"/>
      <c r="F698" s="59"/>
      <c r="G698" s="59"/>
      <c r="H698" s="61"/>
    </row>
    <row r="699" ht="14.25" customHeight="1">
      <c r="A699" s="59"/>
      <c r="B699" s="59"/>
      <c r="C699" s="59"/>
      <c r="D699" s="59"/>
      <c r="E699" s="59"/>
      <c r="F699" s="59"/>
      <c r="G699" s="59"/>
      <c r="H699" s="61"/>
    </row>
    <row r="700" ht="14.25" customHeight="1">
      <c r="A700" s="59"/>
      <c r="B700" s="59"/>
      <c r="C700" s="59"/>
      <c r="D700" s="59"/>
      <c r="E700" s="59"/>
      <c r="F700" s="59"/>
      <c r="G700" s="59"/>
      <c r="H700" s="61"/>
    </row>
    <row r="701" ht="14.25" customHeight="1">
      <c r="A701" s="59"/>
      <c r="B701" s="59"/>
      <c r="C701" s="59"/>
      <c r="D701" s="59"/>
      <c r="E701" s="59"/>
      <c r="F701" s="59"/>
      <c r="G701" s="59"/>
      <c r="H701" s="61"/>
    </row>
    <row r="702" ht="14.25" customHeight="1">
      <c r="A702" s="59"/>
      <c r="B702" s="59"/>
      <c r="C702" s="59"/>
      <c r="D702" s="59"/>
      <c r="E702" s="59"/>
      <c r="F702" s="59"/>
      <c r="G702" s="59"/>
      <c r="H702" s="61"/>
    </row>
    <row r="703" ht="14.25" customHeight="1">
      <c r="A703" s="59"/>
      <c r="B703" s="59"/>
      <c r="C703" s="59"/>
      <c r="D703" s="59"/>
      <c r="E703" s="59"/>
      <c r="F703" s="59"/>
      <c r="G703" s="59"/>
      <c r="H703" s="61"/>
    </row>
    <row r="704" ht="14.25" customHeight="1">
      <c r="A704" s="59"/>
      <c r="B704" s="59"/>
      <c r="C704" s="59"/>
      <c r="D704" s="59"/>
      <c r="E704" s="59"/>
      <c r="F704" s="59"/>
      <c r="G704" s="59"/>
      <c r="H704" s="61"/>
    </row>
    <row r="705" ht="14.25" customHeight="1">
      <c r="A705" s="59"/>
      <c r="B705" s="59"/>
      <c r="C705" s="59"/>
      <c r="D705" s="59"/>
      <c r="E705" s="59"/>
      <c r="F705" s="59"/>
      <c r="G705" s="59"/>
      <c r="H705" s="61"/>
    </row>
    <row r="706" ht="14.25" customHeight="1">
      <c r="A706" s="59"/>
      <c r="B706" s="59"/>
      <c r="C706" s="59"/>
      <c r="D706" s="59"/>
      <c r="E706" s="59"/>
      <c r="F706" s="59"/>
      <c r="G706" s="59"/>
      <c r="H706" s="61"/>
    </row>
    <row r="707" ht="14.25" customHeight="1">
      <c r="A707" s="59"/>
      <c r="B707" s="59"/>
      <c r="C707" s="59"/>
      <c r="D707" s="59"/>
      <c r="E707" s="59"/>
      <c r="F707" s="59"/>
      <c r="G707" s="59"/>
      <c r="H707" s="61"/>
    </row>
    <row r="708" ht="14.25" customHeight="1">
      <c r="A708" s="59"/>
      <c r="B708" s="59"/>
      <c r="C708" s="59"/>
      <c r="D708" s="59"/>
      <c r="E708" s="59"/>
      <c r="F708" s="59"/>
      <c r="G708" s="59"/>
      <c r="H708" s="61"/>
    </row>
    <row r="709" ht="14.25" customHeight="1">
      <c r="A709" s="59"/>
      <c r="B709" s="59"/>
      <c r="C709" s="59"/>
      <c r="D709" s="59"/>
      <c r="E709" s="59"/>
      <c r="F709" s="59"/>
      <c r="G709" s="59"/>
      <c r="H709" s="61"/>
    </row>
    <row r="710" ht="14.25" customHeight="1">
      <c r="A710" s="59"/>
      <c r="B710" s="59"/>
      <c r="C710" s="59"/>
      <c r="D710" s="59"/>
      <c r="E710" s="59"/>
      <c r="F710" s="59"/>
      <c r="G710" s="59"/>
      <c r="H710" s="61"/>
    </row>
    <row r="711" ht="14.25" customHeight="1">
      <c r="A711" s="59"/>
      <c r="B711" s="59"/>
      <c r="C711" s="59"/>
      <c r="D711" s="59"/>
      <c r="E711" s="59"/>
      <c r="F711" s="59"/>
      <c r="G711" s="59"/>
      <c r="H711" s="61"/>
    </row>
    <row r="712" ht="14.25" customHeight="1">
      <c r="A712" s="59"/>
      <c r="B712" s="59"/>
      <c r="C712" s="59"/>
      <c r="D712" s="59"/>
      <c r="E712" s="59"/>
      <c r="F712" s="59"/>
      <c r="G712" s="59"/>
      <c r="H712" s="61"/>
    </row>
    <row r="713" ht="14.25" customHeight="1">
      <c r="A713" s="59"/>
      <c r="B713" s="59"/>
      <c r="C713" s="59"/>
      <c r="D713" s="59"/>
      <c r="E713" s="59"/>
      <c r="F713" s="59"/>
      <c r="G713" s="59"/>
      <c r="H713" s="61"/>
    </row>
    <row r="714" ht="14.25" customHeight="1">
      <c r="A714" s="59"/>
      <c r="B714" s="59"/>
      <c r="C714" s="59"/>
      <c r="D714" s="59"/>
      <c r="E714" s="59"/>
      <c r="F714" s="59"/>
      <c r="G714" s="59"/>
      <c r="H714" s="61"/>
    </row>
    <row r="715" ht="14.25" customHeight="1">
      <c r="A715" s="59"/>
      <c r="B715" s="59"/>
      <c r="C715" s="59"/>
      <c r="D715" s="59"/>
      <c r="E715" s="59"/>
      <c r="F715" s="59"/>
      <c r="G715" s="59"/>
      <c r="H715" s="61"/>
    </row>
    <row r="716" ht="14.25" customHeight="1">
      <c r="A716" s="59"/>
      <c r="B716" s="59"/>
      <c r="C716" s="59"/>
      <c r="D716" s="59"/>
      <c r="E716" s="59"/>
      <c r="F716" s="59"/>
      <c r="G716" s="59"/>
      <c r="H716" s="61"/>
    </row>
    <row r="717" ht="14.25" customHeight="1">
      <c r="A717" s="59"/>
      <c r="B717" s="59"/>
      <c r="C717" s="59"/>
      <c r="D717" s="59"/>
      <c r="E717" s="59"/>
      <c r="F717" s="59"/>
      <c r="G717" s="59"/>
      <c r="H717" s="61"/>
    </row>
    <row r="718" ht="14.25" customHeight="1">
      <c r="A718" s="59"/>
      <c r="B718" s="59"/>
      <c r="C718" s="59"/>
      <c r="D718" s="59"/>
      <c r="E718" s="59"/>
      <c r="F718" s="59"/>
      <c r="G718" s="59"/>
      <c r="H718" s="61"/>
    </row>
    <row r="719" ht="14.25" customHeight="1">
      <c r="A719" s="59"/>
      <c r="B719" s="59"/>
      <c r="C719" s="59"/>
      <c r="D719" s="59"/>
      <c r="E719" s="59"/>
      <c r="F719" s="59"/>
      <c r="G719" s="59"/>
      <c r="H719" s="61"/>
    </row>
    <row r="720" ht="14.25" customHeight="1">
      <c r="A720" s="59"/>
      <c r="B720" s="59"/>
      <c r="C720" s="59"/>
      <c r="D720" s="59"/>
      <c r="E720" s="59"/>
      <c r="F720" s="59"/>
      <c r="G720" s="59"/>
      <c r="H720" s="61"/>
    </row>
    <row r="721" ht="14.25" customHeight="1">
      <c r="A721" s="59"/>
      <c r="B721" s="59"/>
      <c r="C721" s="59"/>
      <c r="D721" s="59"/>
      <c r="E721" s="59"/>
      <c r="F721" s="59"/>
      <c r="G721" s="59"/>
      <c r="H721" s="61"/>
    </row>
    <row r="722" ht="14.25" customHeight="1">
      <c r="A722" s="59"/>
      <c r="B722" s="59"/>
      <c r="C722" s="59"/>
      <c r="D722" s="59"/>
      <c r="E722" s="59"/>
      <c r="F722" s="59"/>
      <c r="G722" s="59"/>
      <c r="H722" s="61"/>
    </row>
    <row r="723" ht="14.25" customHeight="1">
      <c r="A723" s="59"/>
      <c r="B723" s="59"/>
      <c r="C723" s="59"/>
      <c r="D723" s="59"/>
      <c r="E723" s="59"/>
      <c r="F723" s="59"/>
      <c r="G723" s="59"/>
      <c r="H723" s="61"/>
    </row>
    <row r="724" ht="14.25" customHeight="1">
      <c r="A724" s="59"/>
      <c r="B724" s="59"/>
      <c r="C724" s="59"/>
      <c r="D724" s="59"/>
      <c r="E724" s="59"/>
      <c r="F724" s="59"/>
      <c r="G724" s="59"/>
      <c r="H724" s="61"/>
    </row>
    <row r="725" ht="14.25" customHeight="1">
      <c r="A725" s="59"/>
      <c r="B725" s="59"/>
      <c r="C725" s="59"/>
      <c r="D725" s="59"/>
      <c r="E725" s="59"/>
      <c r="F725" s="59"/>
      <c r="G725" s="59"/>
      <c r="H725" s="61"/>
    </row>
    <row r="726" ht="14.25" customHeight="1">
      <c r="A726" s="59"/>
      <c r="B726" s="59"/>
      <c r="C726" s="59"/>
      <c r="D726" s="59"/>
      <c r="E726" s="59"/>
      <c r="F726" s="59"/>
      <c r="G726" s="59"/>
      <c r="H726" s="61"/>
    </row>
    <row r="727" ht="14.25" customHeight="1">
      <c r="A727" s="59"/>
      <c r="B727" s="59"/>
      <c r="C727" s="59"/>
      <c r="D727" s="59"/>
      <c r="E727" s="59"/>
      <c r="F727" s="59"/>
      <c r="G727" s="59"/>
      <c r="H727" s="61"/>
    </row>
    <row r="728" ht="14.25" customHeight="1">
      <c r="A728" s="59"/>
      <c r="B728" s="59"/>
      <c r="C728" s="59"/>
      <c r="D728" s="59"/>
      <c r="E728" s="59"/>
      <c r="F728" s="59"/>
      <c r="G728" s="59"/>
      <c r="H728" s="61"/>
    </row>
    <row r="729" ht="14.25" customHeight="1">
      <c r="A729" s="59"/>
      <c r="B729" s="59"/>
      <c r="C729" s="59"/>
      <c r="D729" s="59"/>
      <c r="E729" s="59"/>
      <c r="F729" s="59"/>
      <c r="G729" s="59"/>
      <c r="H729" s="61"/>
    </row>
    <row r="730" ht="14.25" customHeight="1">
      <c r="A730" s="59"/>
      <c r="B730" s="59"/>
      <c r="C730" s="59"/>
      <c r="D730" s="59"/>
      <c r="E730" s="59"/>
      <c r="F730" s="59"/>
      <c r="G730" s="59"/>
      <c r="H730" s="61"/>
    </row>
    <row r="731" ht="14.25" customHeight="1">
      <c r="A731" s="59"/>
      <c r="B731" s="59"/>
      <c r="C731" s="59"/>
      <c r="D731" s="59"/>
      <c r="E731" s="59"/>
      <c r="F731" s="59"/>
      <c r="G731" s="59"/>
      <c r="H731" s="61"/>
    </row>
    <row r="732" ht="14.25" customHeight="1">
      <c r="A732" s="59"/>
      <c r="B732" s="59"/>
      <c r="C732" s="59"/>
      <c r="D732" s="59"/>
      <c r="E732" s="59"/>
      <c r="F732" s="59"/>
      <c r="G732" s="59"/>
      <c r="H732" s="61"/>
    </row>
    <row r="733" ht="14.25" customHeight="1">
      <c r="A733" s="59"/>
      <c r="B733" s="59"/>
      <c r="C733" s="59"/>
      <c r="D733" s="59"/>
      <c r="E733" s="59"/>
      <c r="F733" s="59"/>
      <c r="G733" s="59"/>
      <c r="H733" s="61"/>
    </row>
    <row r="734" ht="14.25" customHeight="1">
      <c r="A734" s="59"/>
      <c r="B734" s="59"/>
      <c r="C734" s="59"/>
      <c r="D734" s="59"/>
      <c r="E734" s="59"/>
      <c r="F734" s="59"/>
      <c r="G734" s="59"/>
      <c r="H734" s="61"/>
    </row>
    <row r="735" ht="14.25" customHeight="1">
      <c r="A735" s="59"/>
      <c r="B735" s="59"/>
      <c r="C735" s="59"/>
      <c r="D735" s="59"/>
      <c r="E735" s="59"/>
      <c r="F735" s="59"/>
      <c r="G735" s="59"/>
      <c r="H735" s="61"/>
    </row>
    <row r="736" ht="14.25" customHeight="1">
      <c r="A736" s="59"/>
      <c r="B736" s="59"/>
      <c r="C736" s="59"/>
      <c r="D736" s="59"/>
      <c r="E736" s="59"/>
      <c r="F736" s="59"/>
      <c r="G736" s="59"/>
      <c r="H736" s="61"/>
    </row>
    <row r="737" ht="14.25" customHeight="1">
      <c r="A737" s="59"/>
      <c r="B737" s="59"/>
      <c r="C737" s="59"/>
      <c r="D737" s="59"/>
      <c r="E737" s="59"/>
      <c r="F737" s="59"/>
      <c r="G737" s="59"/>
      <c r="H737" s="61"/>
    </row>
    <row r="738" ht="14.25" customHeight="1">
      <c r="A738" s="59"/>
      <c r="B738" s="59"/>
      <c r="C738" s="59"/>
      <c r="D738" s="59"/>
      <c r="E738" s="59"/>
      <c r="F738" s="59"/>
      <c r="G738" s="59"/>
      <c r="H738" s="61"/>
    </row>
    <row r="739" ht="14.25" customHeight="1">
      <c r="A739" s="59"/>
      <c r="B739" s="59"/>
      <c r="C739" s="59"/>
      <c r="D739" s="59"/>
      <c r="E739" s="59"/>
      <c r="F739" s="59"/>
      <c r="G739" s="59"/>
      <c r="H739" s="61"/>
    </row>
    <row r="740" ht="14.25" customHeight="1">
      <c r="A740" s="59"/>
      <c r="B740" s="59"/>
      <c r="C740" s="59"/>
      <c r="D740" s="59"/>
      <c r="E740" s="59"/>
      <c r="F740" s="59"/>
      <c r="G740" s="59"/>
      <c r="H740" s="61"/>
    </row>
    <row r="741" ht="14.25" customHeight="1">
      <c r="A741" s="59"/>
      <c r="B741" s="59"/>
      <c r="C741" s="59"/>
      <c r="D741" s="59"/>
      <c r="E741" s="59"/>
      <c r="F741" s="59"/>
      <c r="G741" s="59"/>
      <c r="H741" s="61"/>
    </row>
    <row r="742" ht="14.25" customHeight="1">
      <c r="A742" s="59"/>
      <c r="B742" s="59"/>
      <c r="C742" s="59"/>
      <c r="D742" s="59"/>
      <c r="E742" s="59"/>
      <c r="F742" s="59"/>
      <c r="G742" s="59"/>
      <c r="H742" s="61"/>
    </row>
    <row r="743" ht="14.25" customHeight="1">
      <c r="A743" s="59"/>
      <c r="B743" s="59"/>
      <c r="C743" s="59"/>
      <c r="D743" s="59"/>
      <c r="E743" s="59"/>
      <c r="F743" s="59"/>
      <c r="G743" s="59"/>
      <c r="H743" s="61"/>
    </row>
    <row r="744" ht="14.25" customHeight="1">
      <c r="A744" s="59"/>
      <c r="B744" s="59"/>
      <c r="C744" s="59"/>
      <c r="D744" s="59"/>
      <c r="E744" s="59"/>
      <c r="F744" s="59"/>
      <c r="G744" s="59"/>
      <c r="H744" s="61"/>
    </row>
    <row r="745" ht="14.25" customHeight="1">
      <c r="A745" s="59"/>
      <c r="B745" s="59"/>
      <c r="C745" s="59"/>
      <c r="D745" s="59"/>
      <c r="E745" s="59"/>
      <c r="F745" s="59"/>
      <c r="G745" s="59"/>
      <c r="H745" s="61"/>
    </row>
    <row r="746" ht="14.25" customHeight="1">
      <c r="A746" s="59"/>
      <c r="B746" s="59"/>
      <c r="C746" s="59"/>
      <c r="D746" s="59"/>
      <c r="E746" s="59"/>
      <c r="F746" s="59"/>
      <c r="G746" s="59"/>
      <c r="H746" s="61"/>
    </row>
    <row r="747" ht="14.25" customHeight="1">
      <c r="A747" s="59"/>
      <c r="B747" s="59"/>
      <c r="C747" s="59"/>
      <c r="D747" s="59"/>
      <c r="E747" s="59"/>
      <c r="F747" s="59"/>
      <c r="G747" s="59"/>
      <c r="H747" s="61"/>
    </row>
    <row r="748" ht="14.25" customHeight="1">
      <c r="A748" s="59"/>
      <c r="B748" s="59"/>
      <c r="C748" s="59"/>
      <c r="D748" s="59"/>
      <c r="E748" s="59"/>
      <c r="F748" s="59"/>
      <c r="G748" s="59"/>
      <c r="H748" s="61"/>
    </row>
    <row r="749" ht="14.25" customHeight="1">
      <c r="A749" s="59"/>
      <c r="B749" s="59"/>
      <c r="C749" s="59"/>
      <c r="D749" s="59"/>
      <c r="E749" s="59"/>
      <c r="F749" s="59"/>
      <c r="G749" s="59"/>
      <c r="H749" s="61"/>
    </row>
    <row r="750" ht="14.25" customHeight="1">
      <c r="A750" s="59"/>
      <c r="B750" s="59"/>
      <c r="C750" s="59"/>
      <c r="D750" s="59"/>
      <c r="E750" s="59"/>
      <c r="F750" s="59"/>
      <c r="G750" s="59"/>
      <c r="H750" s="61"/>
    </row>
    <row r="751" ht="14.25" customHeight="1">
      <c r="A751" s="59"/>
      <c r="B751" s="59"/>
      <c r="C751" s="59"/>
      <c r="D751" s="59"/>
      <c r="E751" s="59"/>
      <c r="F751" s="59"/>
      <c r="G751" s="59"/>
      <c r="H751" s="61"/>
    </row>
    <row r="752" ht="14.25" customHeight="1">
      <c r="A752" s="59"/>
      <c r="B752" s="59"/>
      <c r="C752" s="59"/>
      <c r="D752" s="59"/>
      <c r="E752" s="59"/>
      <c r="F752" s="59"/>
      <c r="G752" s="59"/>
      <c r="H752" s="61"/>
    </row>
    <row r="753" ht="14.25" customHeight="1">
      <c r="A753" s="59"/>
      <c r="B753" s="59"/>
      <c r="C753" s="59"/>
      <c r="D753" s="59"/>
      <c r="E753" s="59"/>
      <c r="F753" s="59"/>
      <c r="G753" s="59"/>
      <c r="H753" s="61"/>
    </row>
    <row r="754" ht="14.25" customHeight="1">
      <c r="A754" s="59"/>
      <c r="B754" s="59"/>
      <c r="C754" s="59"/>
      <c r="D754" s="59"/>
      <c r="E754" s="59"/>
      <c r="F754" s="59"/>
      <c r="G754" s="59"/>
      <c r="H754" s="61"/>
    </row>
    <row r="755" ht="14.25" customHeight="1">
      <c r="A755" s="59"/>
      <c r="B755" s="59"/>
      <c r="C755" s="59"/>
      <c r="D755" s="59"/>
      <c r="E755" s="59"/>
      <c r="F755" s="59"/>
      <c r="G755" s="59"/>
      <c r="H755" s="61"/>
    </row>
    <row r="756" ht="14.25" customHeight="1">
      <c r="A756" s="59"/>
      <c r="B756" s="59"/>
      <c r="C756" s="59"/>
      <c r="D756" s="59"/>
      <c r="E756" s="59"/>
      <c r="F756" s="59"/>
      <c r="G756" s="59"/>
      <c r="H756" s="61"/>
    </row>
    <row r="757" ht="14.25" customHeight="1">
      <c r="A757" s="59"/>
      <c r="B757" s="59"/>
      <c r="C757" s="59"/>
      <c r="D757" s="59"/>
      <c r="E757" s="59"/>
      <c r="F757" s="59"/>
      <c r="G757" s="59"/>
      <c r="H757" s="61"/>
    </row>
    <row r="758" ht="14.25" customHeight="1">
      <c r="A758" s="59"/>
      <c r="B758" s="59"/>
      <c r="C758" s="59"/>
      <c r="D758" s="59"/>
      <c r="E758" s="59"/>
      <c r="F758" s="59"/>
      <c r="G758" s="59"/>
      <c r="H758" s="61"/>
    </row>
    <row r="759" ht="14.25" customHeight="1">
      <c r="A759" s="59"/>
      <c r="B759" s="59"/>
      <c r="C759" s="59"/>
      <c r="D759" s="59"/>
      <c r="E759" s="59"/>
      <c r="F759" s="59"/>
      <c r="G759" s="59"/>
      <c r="H759" s="61"/>
    </row>
    <row r="760" ht="14.25" customHeight="1">
      <c r="A760" s="59"/>
      <c r="B760" s="59"/>
      <c r="C760" s="59"/>
      <c r="D760" s="59"/>
      <c r="E760" s="59"/>
      <c r="F760" s="59"/>
      <c r="G760" s="59"/>
      <c r="H760" s="61"/>
    </row>
    <row r="761" ht="14.25" customHeight="1">
      <c r="A761" s="59"/>
      <c r="B761" s="59"/>
      <c r="C761" s="59"/>
      <c r="D761" s="59"/>
      <c r="E761" s="59"/>
      <c r="F761" s="59"/>
      <c r="G761" s="59"/>
      <c r="H761" s="61"/>
    </row>
    <row r="762" ht="14.25" customHeight="1">
      <c r="A762" s="59"/>
      <c r="B762" s="59"/>
      <c r="C762" s="59"/>
      <c r="D762" s="59"/>
      <c r="E762" s="59"/>
      <c r="F762" s="59"/>
      <c r="G762" s="59"/>
      <c r="H762" s="61"/>
    </row>
    <row r="763" ht="14.25" customHeight="1">
      <c r="A763" s="59"/>
      <c r="B763" s="59"/>
      <c r="C763" s="59"/>
      <c r="D763" s="59"/>
      <c r="E763" s="59"/>
      <c r="F763" s="59"/>
      <c r="G763" s="59"/>
      <c r="H763" s="61"/>
    </row>
    <row r="764" ht="14.25" customHeight="1">
      <c r="A764" s="59"/>
      <c r="B764" s="59"/>
      <c r="C764" s="59"/>
      <c r="D764" s="59"/>
      <c r="E764" s="59"/>
      <c r="F764" s="59"/>
      <c r="G764" s="59"/>
      <c r="H764" s="61"/>
    </row>
    <row r="765" ht="14.25" customHeight="1">
      <c r="A765" s="59"/>
      <c r="B765" s="59"/>
      <c r="C765" s="59"/>
      <c r="D765" s="59"/>
      <c r="E765" s="59"/>
      <c r="F765" s="59"/>
      <c r="G765" s="59"/>
      <c r="H765" s="61"/>
    </row>
    <row r="766" ht="14.25" customHeight="1">
      <c r="A766" s="59"/>
      <c r="B766" s="59"/>
      <c r="C766" s="59"/>
      <c r="D766" s="59"/>
      <c r="E766" s="59"/>
      <c r="F766" s="59"/>
      <c r="G766" s="59"/>
      <c r="H766" s="61"/>
    </row>
    <row r="767" ht="14.25" customHeight="1">
      <c r="A767" s="59"/>
      <c r="B767" s="59"/>
      <c r="C767" s="59"/>
      <c r="D767" s="59"/>
      <c r="E767" s="59"/>
      <c r="F767" s="59"/>
      <c r="G767" s="59"/>
      <c r="H767" s="61"/>
    </row>
    <row r="768" ht="14.25" customHeight="1">
      <c r="A768" s="59"/>
      <c r="B768" s="59"/>
      <c r="C768" s="59"/>
      <c r="D768" s="59"/>
      <c r="E768" s="59"/>
      <c r="F768" s="59"/>
      <c r="G768" s="59"/>
      <c r="H768" s="61"/>
    </row>
    <row r="769" ht="14.25" customHeight="1">
      <c r="A769" s="59"/>
      <c r="B769" s="59"/>
      <c r="C769" s="59"/>
      <c r="D769" s="59"/>
      <c r="E769" s="59"/>
      <c r="F769" s="59"/>
      <c r="G769" s="59"/>
      <c r="H769" s="61"/>
    </row>
    <row r="770" ht="14.25" customHeight="1">
      <c r="A770" s="59"/>
      <c r="B770" s="59"/>
      <c r="C770" s="59"/>
      <c r="D770" s="59"/>
      <c r="E770" s="59"/>
      <c r="F770" s="59"/>
      <c r="G770" s="59"/>
      <c r="H770" s="61"/>
    </row>
    <row r="771" ht="14.25" customHeight="1">
      <c r="A771" s="59"/>
      <c r="B771" s="59"/>
      <c r="C771" s="59"/>
      <c r="D771" s="59"/>
      <c r="E771" s="59"/>
      <c r="F771" s="59"/>
      <c r="G771" s="59"/>
      <c r="H771" s="61"/>
    </row>
    <row r="772" ht="14.25" customHeight="1">
      <c r="A772" s="59"/>
      <c r="B772" s="59"/>
      <c r="C772" s="59"/>
      <c r="D772" s="59"/>
      <c r="E772" s="59"/>
      <c r="F772" s="59"/>
      <c r="G772" s="59"/>
      <c r="H772" s="61"/>
    </row>
    <row r="773" ht="14.25" customHeight="1">
      <c r="A773" s="59"/>
      <c r="B773" s="59"/>
      <c r="C773" s="59"/>
      <c r="D773" s="59"/>
      <c r="E773" s="59"/>
      <c r="F773" s="59"/>
      <c r="G773" s="59"/>
      <c r="H773" s="61"/>
    </row>
    <row r="774" ht="14.25" customHeight="1">
      <c r="A774" s="59"/>
      <c r="B774" s="59"/>
      <c r="C774" s="59"/>
      <c r="D774" s="59"/>
      <c r="E774" s="59"/>
      <c r="F774" s="59"/>
      <c r="G774" s="59"/>
      <c r="H774" s="61"/>
    </row>
    <row r="775" ht="14.25" customHeight="1">
      <c r="A775" s="59"/>
      <c r="B775" s="59"/>
      <c r="C775" s="59"/>
      <c r="D775" s="59"/>
      <c r="E775" s="59"/>
      <c r="F775" s="59"/>
      <c r="G775" s="59"/>
      <c r="H775" s="61"/>
    </row>
    <row r="776" ht="14.25" customHeight="1">
      <c r="A776" s="59"/>
      <c r="B776" s="59"/>
      <c r="C776" s="59"/>
      <c r="D776" s="59"/>
      <c r="E776" s="59"/>
      <c r="F776" s="59"/>
      <c r="G776" s="59"/>
      <c r="H776" s="61"/>
    </row>
    <row r="777" ht="14.25" customHeight="1">
      <c r="A777" s="59"/>
      <c r="B777" s="59"/>
      <c r="C777" s="59"/>
      <c r="D777" s="59"/>
      <c r="E777" s="59"/>
      <c r="F777" s="59"/>
      <c r="G777" s="59"/>
      <c r="H777" s="61"/>
    </row>
    <row r="778" ht="14.25" customHeight="1">
      <c r="A778" s="59"/>
      <c r="B778" s="59"/>
      <c r="C778" s="59"/>
      <c r="D778" s="59"/>
      <c r="E778" s="59"/>
      <c r="F778" s="59"/>
      <c r="G778" s="59"/>
      <c r="H778" s="61"/>
    </row>
    <row r="779" ht="14.25" customHeight="1">
      <c r="A779" s="59"/>
      <c r="B779" s="59"/>
      <c r="C779" s="59"/>
      <c r="D779" s="59"/>
      <c r="E779" s="59"/>
      <c r="F779" s="59"/>
      <c r="G779" s="59"/>
      <c r="H779" s="61"/>
    </row>
    <row r="780" ht="14.25" customHeight="1">
      <c r="A780" s="59"/>
      <c r="B780" s="59"/>
      <c r="C780" s="59"/>
      <c r="D780" s="59"/>
      <c r="E780" s="59"/>
      <c r="F780" s="59"/>
      <c r="G780" s="59"/>
      <c r="H780" s="61"/>
    </row>
    <row r="781" ht="14.25" customHeight="1">
      <c r="A781" s="59"/>
      <c r="B781" s="59"/>
      <c r="C781" s="59"/>
      <c r="D781" s="59"/>
      <c r="E781" s="59"/>
      <c r="F781" s="59"/>
      <c r="G781" s="59"/>
      <c r="H781" s="61"/>
    </row>
    <row r="782" ht="14.25" customHeight="1">
      <c r="A782" s="59"/>
      <c r="B782" s="59"/>
      <c r="C782" s="59"/>
      <c r="D782" s="59"/>
      <c r="E782" s="59"/>
      <c r="F782" s="59"/>
      <c r="G782" s="59"/>
      <c r="H782" s="61"/>
    </row>
    <row r="783" ht="14.25" customHeight="1">
      <c r="A783" s="59"/>
      <c r="B783" s="59"/>
      <c r="C783" s="59"/>
      <c r="D783" s="59"/>
      <c r="E783" s="59"/>
      <c r="F783" s="59"/>
      <c r="G783" s="59"/>
      <c r="H783" s="61"/>
    </row>
    <row r="784" ht="14.25" customHeight="1">
      <c r="A784" s="59"/>
      <c r="B784" s="59"/>
      <c r="C784" s="59"/>
      <c r="D784" s="59"/>
      <c r="E784" s="59"/>
      <c r="F784" s="59"/>
      <c r="G784" s="59"/>
      <c r="H784" s="61"/>
    </row>
    <row r="785" ht="14.25" customHeight="1">
      <c r="A785" s="59"/>
      <c r="B785" s="59"/>
      <c r="C785" s="59"/>
      <c r="D785" s="59"/>
      <c r="E785" s="59"/>
      <c r="F785" s="59"/>
      <c r="G785" s="59"/>
      <c r="H785" s="61"/>
    </row>
    <row r="786" ht="14.25" customHeight="1">
      <c r="A786" s="59"/>
      <c r="B786" s="59"/>
      <c r="C786" s="59"/>
      <c r="D786" s="59"/>
      <c r="E786" s="59"/>
      <c r="F786" s="59"/>
      <c r="G786" s="59"/>
      <c r="H786" s="61"/>
    </row>
    <row r="787" ht="14.25" customHeight="1">
      <c r="A787" s="59"/>
      <c r="B787" s="59"/>
      <c r="C787" s="59"/>
      <c r="D787" s="59"/>
      <c r="E787" s="59"/>
      <c r="F787" s="59"/>
      <c r="G787" s="59"/>
      <c r="H787" s="61"/>
    </row>
    <row r="788" ht="14.25" customHeight="1">
      <c r="A788" s="59"/>
      <c r="B788" s="59"/>
      <c r="C788" s="59"/>
      <c r="D788" s="59"/>
      <c r="E788" s="59"/>
      <c r="F788" s="59"/>
      <c r="G788" s="59"/>
      <c r="H788" s="61"/>
    </row>
    <row r="789" ht="14.25" customHeight="1">
      <c r="A789" s="59"/>
      <c r="B789" s="59"/>
      <c r="C789" s="59"/>
      <c r="D789" s="59"/>
      <c r="E789" s="59"/>
      <c r="F789" s="59"/>
      <c r="G789" s="59"/>
      <c r="H789" s="61"/>
    </row>
    <row r="790" ht="14.25" customHeight="1">
      <c r="A790" s="59"/>
      <c r="B790" s="59"/>
      <c r="C790" s="59"/>
      <c r="D790" s="59"/>
      <c r="E790" s="59"/>
      <c r="F790" s="59"/>
      <c r="G790" s="59"/>
      <c r="H790" s="61"/>
    </row>
    <row r="791" ht="14.25" customHeight="1">
      <c r="A791" s="59"/>
      <c r="B791" s="59"/>
      <c r="C791" s="59"/>
      <c r="D791" s="59"/>
      <c r="E791" s="59"/>
      <c r="F791" s="59"/>
      <c r="G791" s="59"/>
      <c r="H791" s="61"/>
    </row>
    <row r="792" ht="14.25" customHeight="1">
      <c r="A792" s="59"/>
      <c r="B792" s="59"/>
      <c r="C792" s="59"/>
      <c r="D792" s="59"/>
      <c r="E792" s="59"/>
      <c r="F792" s="59"/>
      <c r="G792" s="59"/>
      <c r="H792" s="61"/>
    </row>
    <row r="793" ht="14.25" customHeight="1">
      <c r="A793" s="59"/>
      <c r="B793" s="59"/>
      <c r="C793" s="59"/>
      <c r="D793" s="59"/>
      <c r="E793" s="59"/>
      <c r="F793" s="59"/>
      <c r="G793" s="59"/>
      <c r="H793" s="61"/>
    </row>
    <row r="794" ht="14.25" customHeight="1">
      <c r="A794" s="59"/>
      <c r="B794" s="59"/>
      <c r="C794" s="59"/>
      <c r="D794" s="59"/>
      <c r="E794" s="59"/>
      <c r="F794" s="59"/>
      <c r="G794" s="59"/>
      <c r="H794" s="61"/>
    </row>
    <row r="795" ht="14.25" customHeight="1">
      <c r="A795" s="59"/>
      <c r="B795" s="59"/>
      <c r="C795" s="59"/>
      <c r="D795" s="59"/>
      <c r="E795" s="59"/>
      <c r="F795" s="59"/>
      <c r="G795" s="59"/>
      <c r="H795" s="61"/>
    </row>
    <row r="796" ht="14.25" customHeight="1">
      <c r="A796" s="59"/>
      <c r="B796" s="59"/>
      <c r="C796" s="59"/>
      <c r="D796" s="59"/>
      <c r="E796" s="59"/>
      <c r="F796" s="59"/>
      <c r="G796" s="59"/>
      <c r="H796" s="61"/>
    </row>
    <row r="797" ht="14.25" customHeight="1">
      <c r="A797" s="59"/>
      <c r="B797" s="59"/>
      <c r="C797" s="59"/>
      <c r="D797" s="59"/>
      <c r="E797" s="59"/>
      <c r="F797" s="59"/>
      <c r="G797" s="59"/>
      <c r="H797" s="61"/>
    </row>
    <row r="798" ht="14.25" customHeight="1">
      <c r="A798" s="59"/>
      <c r="B798" s="59"/>
      <c r="C798" s="59"/>
      <c r="D798" s="59"/>
      <c r="E798" s="59"/>
      <c r="F798" s="59"/>
      <c r="G798" s="59"/>
      <c r="H798" s="61"/>
    </row>
    <row r="799" ht="14.25" customHeight="1">
      <c r="A799" s="59"/>
      <c r="B799" s="59"/>
      <c r="C799" s="59"/>
      <c r="D799" s="59"/>
      <c r="E799" s="59"/>
      <c r="F799" s="59"/>
      <c r="G799" s="59"/>
      <c r="H799" s="61"/>
    </row>
    <row r="800" ht="14.25" customHeight="1">
      <c r="A800" s="59"/>
      <c r="B800" s="59"/>
      <c r="C800" s="59"/>
      <c r="D800" s="59"/>
      <c r="E800" s="59"/>
      <c r="F800" s="59"/>
      <c r="G800" s="59"/>
      <c r="H800" s="61"/>
    </row>
    <row r="801" ht="14.25" customHeight="1">
      <c r="A801" s="59"/>
      <c r="B801" s="59"/>
      <c r="C801" s="59"/>
      <c r="D801" s="59"/>
      <c r="E801" s="59"/>
      <c r="F801" s="59"/>
      <c r="G801" s="59"/>
      <c r="H801" s="61"/>
    </row>
    <row r="802" ht="14.25" customHeight="1">
      <c r="A802" s="59"/>
      <c r="B802" s="59"/>
      <c r="C802" s="59"/>
      <c r="D802" s="59"/>
      <c r="E802" s="59"/>
      <c r="F802" s="59"/>
      <c r="G802" s="59"/>
      <c r="H802" s="61"/>
    </row>
    <row r="803" ht="14.25" customHeight="1">
      <c r="A803" s="59"/>
      <c r="B803" s="59"/>
      <c r="C803" s="59"/>
      <c r="D803" s="59"/>
      <c r="E803" s="59"/>
      <c r="F803" s="59"/>
      <c r="G803" s="59"/>
      <c r="H803" s="61"/>
    </row>
    <row r="804" ht="14.25" customHeight="1">
      <c r="A804" s="59"/>
      <c r="B804" s="59"/>
      <c r="C804" s="59"/>
      <c r="D804" s="59"/>
      <c r="E804" s="59"/>
      <c r="F804" s="59"/>
      <c r="G804" s="59"/>
      <c r="H804" s="61"/>
    </row>
    <row r="805" ht="14.25" customHeight="1">
      <c r="A805" s="59"/>
      <c r="B805" s="59"/>
      <c r="C805" s="59"/>
      <c r="D805" s="59"/>
      <c r="E805" s="59"/>
      <c r="F805" s="59"/>
      <c r="G805" s="59"/>
      <c r="H805" s="61"/>
    </row>
    <row r="806" ht="14.25" customHeight="1">
      <c r="A806" s="59"/>
      <c r="B806" s="59"/>
      <c r="C806" s="59"/>
      <c r="D806" s="59"/>
      <c r="E806" s="59"/>
      <c r="F806" s="59"/>
      <c r="G806" s="59"/>
      <c r="H806" s="61"/>
    </row>
    <row r="807" ht="14.25" customHeight="1">
      <c r="A807" s="59"/>
      <c r="B807" s="59"/>
      <c r="C807" s="59"/>
      <c r="D807" s="59"/>
      <c r="E807" s="59"/>
      <c r="F807" s="59"/>
      <c r="G807" s="59"/>
      <c r="H807" s="61"/>
    </row>
    <row r="808" ht="14.25" customHeight="1">
      <c r="A808" s="59"/>
      <c r="B808" s="59"/>
      <c r="C808" s="59"/>
      <c r="D808" s="59"/>
      <c r="E808" s="59"/>
      <c r="F808" s="59"/>
      <c r="G808" s="59"/>
      <c r="H808" s="61"/>
    </row>
    <row r="809" ht="14.25" customHeight="1">
      <c r="A809" s="59"/>
      <c r="B809" s="59"/>
      <c r="C809" s="59"/>
      <c r="D809" s="59"/>
      <c r="E809" s="59"/>
      <c r="F809" s="59"/>
      <c r="G809" s="59"/>
      <c r="H809" s="61"/>
    </row>
    <row r="810" ht="14.25" customHeight="1">
      <c r="A810" s="59"/>
      <c r="B810" s="59"/>
      <c r="C810" s="59"/>
      <c r="D810" s="59"/>
      <c r="E810" s="59"/>
      <c r="F810" s="59"/>
      <c r="G810" s="59"/>
      <c r="H810" s="61"/>
    </row>
    <row r="811" ht="14.25" customHeight="1">
      <c r="A811" s="59"/>
      <c r="B811" s="59"/>
      <c r="C811" s="59"/>
      <c r="D811" s="59"/>
      <c r="E811" s="59"/>
      <c r="F811" s="59"/>
      <c r="G811" s="59"/>
      <c r="H811" s="61"/>
    </row>
    <row r="812" ht="14.25" customHeight="1">
      <c r="A812" s="59"/>
      <c r="B812" s="59"/>
      <c r="C812" s="59"/>
      <c r="D812" s="59"/>
      <c r="E812" s="59"/>
      <c r="F812" s="59"/>
      <c r="G812" s="59"/>
      <c r="H812" s="61"/>
    </row>
    <row r="813" ht="14.25" customHeight="1">
      <c r="A813" s="59"/>
      <c r="B813" s="59"/>
      <c r="C813" s="59"/>
      <c r="D813" s="59"/>
      <c r="E813" s="59"/>
      <c r="F813" s="59"/>
      <c r="G813" s="59"/>
      <c r="H813" s="61"/>
    </row>
    <row r="814" ht="14.25" customHeight="1">
      <c r="A814" s="59"/>
      <c r="B814" s="59"/>
      <c r="C814" s="59"/>
      <c r="D814" s="59"/>
      <c r="E814" s="59"/>
      <c r="F814" s="59"/>
      <c r="G814" s="59"/>
      <c r="H814" s="61"/>
    </row>
    <row r="815" ht="14.25" customHeight="1">
      <c r="A815" s="59"/>
      <c r="B815" s="59"/>
      <c r="C815" s="59"/>
      <c r="D815" s="59"/>
      <c r="E815" s="59"/>
      <c r="F815" s="59"/>
      <c r="G815" s="59"/>
      <c r="H815" s="61"/>
    </row>
    <row r="816" ht="14.25" customHeight="1">
      <c r="A816" s="59"/>
      <c r="B816" s="59"/>
      <c r="C816" s="59"/>
      <c r="D816" s="59"/>
      <c r="E816" s="59"/>
      <c r="F816" s="59"/>
      <c r="G816" s="59"/>
      <c r="H816" s="61"/>
    </row>
    <row r="817" ht="14.25" customHeight="1">
      <c r="A817" s="59"/>
      <c r="B817" s="59"/>
      <c r="C817" s="59"/>
      <c r="D817" s="59"/>
      <c r="E817" s="59"/>
      <c r="F817" s="59"/>
      <c r="G817" s="59"/>
      <c r="H817" s="61"/>
    </row>
    <row r="818" ht="14.25" customHeight="1">
      <c r="A818" s="59"/>
      <c r="B818" s="59"/>
      <c r="C818" s="59"/>
      <c r="D818" s="59"/>
      <c r="E818" s="59"/>
      <c r="F818" s="59"/>
      <c r="G818" s="59"/>
      <c r="H818" s="61"/>
    </row>
    <row r="819" ht="14.25" customHeight="1">
      <c r="A819" s="59"/>
      <c r="B819" s="59"/>
      <c r="C819" s="59"/>
      <c r="D819" s="59"/>
      <c r="E819" s="59"/>
      <c r="F819" s="59"/>
      <c r="G819" s="59"/>
      <c r="H819" s="61"/>
    </row>
    <row r="820" ht="14.25" customHeight="1">
      <c r="A820" s="59"/>
      <c r="B820" s="59"/>
      <c r="C820" s="59"/>
      <c r="D820" s="59"/>
      <c r="E820" s="59"/>
      <c r="F820" s="59"/>
      <c r="G820" s="59"/>
      <c r="H820" s="61"/>
    </row>
    <row r="821" ht="14.25" customHeight="1">
      <c r="A821" s="59"/>
      <c r="B821" s="59"/>
      <c r="C821" s="59"/>
      <c r="D821" s="59"/>
      <c r="E821" s="59"/>
      <c r="F821" s="59"/>
      <c r="G821" s="59"/>
      <c r="H821" s="61"/>
    </row>
    <row r="822" ht="14.25" customHeight="1">
      <c r="A822" s="59"/>
      <c r="B822" s="59"/>
      <c r="C822" s="59"/>
      <c r="D822" s="59"/>
      <c r="E822" s="59"/>
      <c r="F822" s="59"/>
      <c r="G822" s="59"/>
      <c r="H822" s="61"/>
    </row>
    <row r="823" ht="14.25" customHeight="1">
      <c r="A823" s="59"/>
      <c r="B823" s="59"/>
      <c r="C823" s="59"/>
      <c r="D823" s="59"/>
      <c r="E823" s="59"/>
      <c r="F823" s="59"/>
      <c r="G823" s="59"/>
      <c r="H823" s="61"/>
    </row>
    <row r="824" ht="14.25" customHeight="1">
      <c r="A824" s="59"/>
      <c r="B824" s="59"/>
      <c r="C824" s="59"/>
      <c r="D824" s="59"/>
      <c r="E824" s="59"/>
      <c r="F824" s="59"/>
      <c r="G824" s="59"/>
      <c r="H824" s="61"/>
    </row>
    <row r="825" ht="14.25" customHeight="1">
      <c r="A825" s="59"/>
      <c r="B825" s="59"/>
      <c r="C825" s="59"/>
      <c r="D825" s="59"/>
      <c r="E825" s="59"/>
      <c r="F825" s="59"/>
      <c r="G825" s="59"/>
      <c r="H825" s="61"/>
    </row>
    <row r="826" ht="14.25" customHeight="1">
      <c r="A826" s="59"/>
      <c r="B826" s="59"/>
      <c r="C826" s="59"/>
      <c r="D826" s="59"/>
      <c r="E826" s="59"/>
      <c r="F826" s="59"/>
      <c r="G826" s="59"/>
      <c r="H826" s="61"/>
    </row>
    <row r="827" ht="14.25" customHeight="1">
      <c r="A827" s="59"/>
      <c r="B827" s="59"/>
      <c r="C827" s="59"/>
      <c r="D827" s="59"/>
      <c r="E827" s="59"/>
      <c r="F827" s="59"/>
      <c r="G827" s="59"/>
      <c r="H827" s="61"/>
    </row>
    <row r="828" ht="14.25" customHeight="1">
      <c r="A828" s="59"/>
      <c r="B828" s="59"/>
      <c r="C828" s="59"/>
      <c r="D828" s="59"/>
      <c r="E828" s="59"/>
      <c r="F828" s="59"/>
      <c r="G828" s="59"/>
      <c r="H828" s="61"/>
    </row>
    <row r="829" ht="14.25" customHeight="1">
      <c r="A829" s="59"/>
      <c r="B829" s="59"/>
      <c r="C829" s="59"/>
      <c r="D829" s="59"/>
      <c r="E829" s="59"/>
      <c r="F829" s="59"/>
      <c r="G829" s="59"/>
      <c r="H829" s="61"/>
    </row>
    <row r="830" ht="14.25" customHeight="1">
      <c r="A830" s="59"/>
      <c r="B830" s="59"/>
      <c r="C830" s="59"/>
      <c r="D830" s="59"/>
      <c r="E830" s="59"/>
      <c r="F830" s="59"/>
      <c r="G830" s="59"/>
      <c r="H830" s="61"/>
    </row>
    <row r="831" ht="14.25" customHeight="1">
      <c r="A831" s="59"/>
      <c r="B831" s="59"/>
      <c r="C831" s="59"/>
      <c r="D831" s="59"/>
      <c r="E831" s="59"/>
      <c r="F831" s="59"/>
      <c r="G831" s="59"/>
      <c r="H831" s="61"/>
    </row>
    <row r="832" ht="14.25" customHeight="1">
      <c r="A832" s="59"/>
      <c r="B832" s="59"/>
      <c r="C832" s="59"/>
      <c r="D832" s="59"/>
      <c r="E832" s="59"/>
      <c r="F832" s="59"/>
      <c r="G832" s="59"/>
      <c r="H832" s="61"/>
    </row>
    <row r="833" ht="14.25" customHeight="1">
      <c r="A833" s="59"/>
      <c r="B833" s="59"/>
      <c r="C833" s="59"/>
      <c r="D833" s="59"/>
      <c r="E833" s="59"/>
      <c r="F833" s="59"/>
      <c r="G833" s="59"/>
      <c r="H833" s="61"/>
    </row>
    <row r="834" ht="14.25" customHeight="1">
      <c r="A834" s="59"/>
      <c r="B834" s="59"/>
      <c r="C834" s="59"/>
      <c r="D834" s="59"/>
      <c r="E834" s="59"/>
      <c r="F834" s="59"/>
      <c r="G834" s="59"/>
      <c r="H834" s="61"/>
    </row>
    <row r="835" ht="14.25" customHeight="1">
      <c r="A835" s="59"/>
      <c r="B835" s="59"/>
      <c r="C835" s="59"/>
      <c r="D835" s="59"/>
      <c r="E835" s="59"/>
      <c r="F835" s="59"/>
      <c r="G835" s="59"/>
      <c r="H835" s="61"/>
    </row>
    <row r="836" ht="14.25" customHeight="1">
      <c r="A836" s="59"/>
      <c r="B836" s="59"/>
      <c r="C836" s="59"/>
      <c r="D836" s="59"/>
      <c r="E836" s="59"/>
      <c r="F836" s="59"/>
      <c r="G836" s="59"/>
      <c r="H836" s="61"/>
    </row>
    <row r="837" ht="14.25" customHeight="1">
      <c r="A837" s="59"/>
      <c r="B837" s="59"/>
      <c r="C837" s="59"/>
      <c r="D837" s="59"/>
      <c r="E837" s="59"/>
      <c r="F837" s="59"/>
      <c r="G837" s="59"/>
      <c r="H837" s="61"/>
    </row>
    <row r="838" ht="14.25" customHeight="1">
      <c r="A838" s="59"/>
      <c r="B838" s="59"/>
      <c r="C838" s="59"/>
      <c r="D838" s="59"/>
      <c r="E838" s="59"/>
      <c r="F838" s="59"/>
      <c r="G838" s="59"/>
      <c r="H838" s="61"/>
    </row>
    <row r="839" ht="14.25" customHeight="1">
      <c r="A839" s="59"/>
      <c r="B839" s="59"/>
      <c r="C839" s="59"/>
      <c r="D839" s="59"/>
      <c r="E839" s="59"/>
      <c r="F839" s="59"/>
      <c r="G839" s="59"/>
      <c r="H839" s="61"/>
    </row>
    <row r="840" ht="14.25" customHeight="1">
      <c r="A840" s="59"/>
      <c r="B840" s="59"/>
      <c r="C840" s="59"/>
      <c r="D840" s="59"/>
      <c r="E840" s="59"/>
      <c r="F840" s="59"/>
      <c r="G840" s="59"/>
      <c r="H840" s="61"/>
    </row>
    <row r="841" ht="14.25" customHeight="1">
      <c r="A841" s="59"/>
      <c r="B841" s="59"/>
      <c r="C841" s="59"/>
      <c r="D841" s="59"/>
      <c r="E841" s="59"/>
      <c r="F841" s="59"/>
      <c r="G841" s="59"/>
      <c r="H841" s="61"/>
    </row>
    <row r="842" ht="14.25" customHeight="1">
      <c r="A842" s="59"/>
      <c r="B842" s="59"/>
      <c r="C842" s="59"/>
      <c r="D842" s="59"/>
      <c r="E842" s="59"/>
      <c r="F842" s="59"/>
      <c r="G842" s="59"/>
      <c r="H842" s="61"/>
    </row>
    <row r="843" ht="14.25" customHeight="1">
      <c r="A843" s="59"/>
      <c r="B843" s="59"/>
      <c r="C843" s="59"/>
      <c r="D843" s="59"/>
      <c r="E843" s="59"/>
      <c r="F843" s="59"/>
      <c r="G843" s="59"/>
      <c r="H843" s="61"/>
    </row>
    <row r="844" ht="14.25" customHeight="1">
      <c r="A844" s="59"/>
      <c r="B844" s="59"/>
      <c r="C844" s="59"/>
      <c r="D844" s="59"/>
      <c r="E844" s="59"/>
      <c r="F844" s="59"/>
      <c r="G844" s="59"/>
      <c r="H844" s="61"/>
    </row>
    <row r="845" ht="14.25" customHeight="1">
      <c r="A845" s="59"/>
      <c r="B845" s="59"/>
      <c r="C845" s="59"/>
      <c r="D845" s="59"/>
      <c r="E845" s="59"/>
      <c r="F845" s="59"/>
      <c r="G845" s="59"/>
      <c r="H845" s="61"/>
    </row>
    <row r="846" ht="14.25" customHeight="1">
      <c r="A846" s="59"/>
      <c r="B846" s="59"/>
      <c r="C846" s="59"/>
      <c r="D846" s="59"/>
      <c r="E846" s="59"/>
      <c r="F846" s="59"/>
      <c r="G846" s="59"/>
      <c r="H846" s="61"/>
    </row>
    <row r="847" ht="14.25" customHeight="1">
      <c r="A847" s="59"/>
      <c r="B847" s="59"/>
      <c r="C847" s="59"/>
      <c r="D847" s="59"/>
      <c r="E847" s="59"/>
      <c r="F847" s="59"/>
      <c r="G847" s="59"/>
      <c r="H847" s="61"/>
    </row>
    <row r="848" ht="14.25" customHeight="1">
      <c r="A848" s="59"/>
      <c r="B848" s="59"/>
      <c r="C848" s="59"/>
      <c r="D848" s="59"/>
      <c r="E848" s="59"/>
      <c r="F848" s="59"/>
      <c r="G848" s="59"/>
      <c r="H848" s="61"/>
    </row>
    <row r="849" ht="14.25" customHeight="1">
      <c r="A849" s="59"/>
      <c r="B849" s="59"/>
      <c r="C849" s="59"/>
      <c r="D849" s="59"/>
      <c r="E849" s="59"/>
      <c r="F849" s="59"/>
      <c r="G849" s="59"/>
      <c r="H849" s="61"/>
    </row>
    <row r="850" ht="14.25" customHeight="1">
      <c r="A850" s="59"/>
      <c r="B850" s="59"/>
      <c r="C850" s="59"/>
      <c r="D850" s="59"/>
      <c r="E850" s="59"/>
      <c r="F850" s="59"/>
      <c r="G850" s="59"/>
      <c r="H850" s="61"/>
    </row>
    <row r="851" ht="14.25" customHeight="1">
      <c r="A851" s="59"/>
      <c r="B851" s="59"/>
      <c r="C851" s="59"/>
      <c r="D851" s="59"/>
      <c r="E851" s="59"/>
      <c r="F851" s="59"/>
      <c r="G851" s="59"/>
      <c r="H851" s="61"/>
    </row>
    <row r="852" ht="14.25" customHeight="1">
      <c r="A852" s="59"/>
      <c r="B852" s="59"/>
      <c r="C852" s="59"/>
      <c r="D852" s="59"/>
      <c r="E852" s="59"/>
      <c r="F852" s="59"/>
      <c r="G852" s="59"/>
      <c r="H852" s="61"/>
    </row>
    <row r="853" ht="14.25" customHeight="1">
      <c r="A853" s="59"/>
      <c r="B853" s="59"/>
      <c r="C853" s="59"/>
      <c r="D853" s="59"/>
      <c r="E853" s="59"/>
      <c r="F853" s="59"/>
      <c r="G853" s="59"/>
      <c r="H853" s="61"/>
    </row>
    <row r="854" ht="14.25" customHeight="1">
      <c r="A854" s="59"/>
      <c r="B854" s="59"/>
      <c r="C854" s="59"/>
      <c r="D854" s="59"/>
      <c r="E854" s="59"/>
      <c r="F854" s="59"/>
      <c r="G854" s="59"/>
      <c r="H854" s="61"/>
    </row>
    <row r="855" ht="14.25" customHeight="1">
      <c r="A855" s="59"/>
      <c r="B855" s="59"/>
      <c r="C855" s="59"/>
      <c r="D855" s="59"/>
      <c r="E855" s="59"/>
      <c r="F855" s="59"/>
      <c r="G855" s="59"/>
      <c r="H855" s="61"/>
    </row>
    <row r="856" ht="14.25" customHeight="1">
      <c r="A856" s="59"/>
      <c r="B856" s="59"/>
      <c r="C856" s="59"/>
      <c r="D856" s="59"/>
      <c r="E856" s="59"/>
      <c r="F856" s="59"/>
      <c r="G856" s="59"/>
      <c r="H856" s="61"/>
    </row>
    <row r="857" ht="14.25" customHeight="1">
      <c r="A857" s="59"/>
      <c r="B857" s="59"/>
      <c r="C857" s="59"/>
      <c r="D857" s="59"/>
      <c r="E857" s="59"/>
      <c r="F857" s="59"/>
      <c r="G857" s="59"/>
      <c r="H857" s="61"/>
    </row>
    <row r="858" ht="14.25" customHeight="1">
      <c r="A858" s="59"/>
      <c r="B858" s="59"/>
      <c r="C858" s="59"/>
      <c r="D858" s="59"/>
      <c r="E858" s="59"/>
      <c r="F858" s="59"/>
      <c r="G858" s="59"/>
      <c r="H858" s="61"/>
    </row>
    <row r="859" ht="14.25" customHeight="1">
      <c r="A859" s="59"/>
      <c r="B859" s="59"/>
      <c r="C859" s="59"/>
      <c r="D859" s="59"/>
      <c r="E859" s="59"/>
      <c r="F859" s="59"/>
      <c r="G859" s="59"/>
      <c r="H859" s="61"/>
    </row>
    <row r="860" ht="14.25" customHeight="1">
      <c r="A860" s="59"/>
      <c r="B860" s="59"/>
      <c r="C860" s="59"/>
      <c r="D860" s="59"/>
      <c r="E860" s="59"/>
      <c r="F860" s="59"/>
      <c r="G860" s="59"/>
      <c r="H860" s="61"/>
    </row>
    <row r="861" ht="14.25" customHeight="1">
      <c r="A861" s="59"/>
      <c r="B861" s="59"/>
      <c r="C861" s="59"/>
      <c r="D861" s="59"/>
      <c r="E861" s="59"/>
      <c r="F861" s="59"/>
      <c r="G861" s="59"/>
      <c r="H861" s="61"/>
    </row>
    <row r="862" ht="14.25" customHeight="1">
      <c r="A862" s="59"/>
      <c r="B862" s="59"/>
      <c r="C862" s="59"/>
      <c r="D862" s="59"/>
      <c r="E862" s="59"/>
      <c r="F862" s="59"/>
      <c r="G862" s="59"/>
      <c r="H862" s="61"/>
    </row>
    <row r="863" ht="14.25" customHeight="1">
      <c r="A863" s="59"/>
      <c r="B863" s="59"/>
      <c r="C863" s="59"/>
      <c r="D863" s="59"/>
      <c r="E863" s="59"/>
      <c r="F863" s="59"/>
      <c r="G863" s="59"/>
      <c r="H863" s="61"/>
    </row>
    <row r="864" ht="14.25" customHeight="1">
      <c r="A864" s="59"/>
      <c r="B864" s="59"/>
      <c r="C864" s="59"/>
      <c r="D864" s="59"/>
      <c r="E864" s="59"/>
      <c r="F864" s="59"/>
      <c r="G864" s="59"/>
      <c r="H864" s="61"/>
    </row>
    <row r="865" ht="14.25" customHeight="1">
      <c r="A865" s="59"/>
      <c r="B865" s="59"/>
      <c r="C865" s="59"/>
      <c r="D865" s="59"/>
      <c r="E865" s="59"/>
      <c r="F865" s="59"/>
      <c r="G865" s="59"/>
      <c r="H865" s="61"/>
    </row>
    <row r="866" ht="14.25" customHeight="1">
      <c r="A866" s="59"/>
      <c r="B866" s="59"/>
      <c r="C866" s="59"/>
      <c r="D866" s="59"/>
      <c r="E866" s="59"/>
      <c r="F866" s="59"/>
      <c r="G866" s="59"/>
      <c r="H866" s="61"/>
    </row>
    <row r="867" ht="14.25" customHeight="1">
      <c r="A867" s="59"/>
      <c r="B867" s="59"/>
      <c r="C867" s="59"/>
      <c r="D867" s="59"/>
      <c r="E867" s="59"/>
      <c r="F867" s="59"/>
      <c r="G867" s="59"/>
      <c r="H867" s="61"/>
    </row>
    <row r="868" ht="14.25" customHeight="1">
      <c r="A868" s="59"/>
      <c r="B868" s="59"/>
      <c r="C868" s="59"/>
      <c r="D868" s="59"/>
      <c r="E868" s="59"/>
      <c r="F868" s="59"/>
      <c r="G868" s="59"/>
      <c r="H868" s="61"/>
    </row>
    <row r="869" ht="14.25" customHeight="1">
      <c r="A869" s="59"/>
      <c r="B869" s="59"/>
      <c r="C869" s="59"/>
      <c r="D869" s="59"/>
      <c r="E869" s="59"/>
      <c r="F869" s="59"/>
      <c r="G869" s="59"/>
      <c r="H869" s="61"/>
    </row>
    <row r="870" ht="14.25" customHeight="1">
      <c r="A870" s="59"/>
      <c r="B870" s="59"/>
      <c r="C870" s="59"/>
      <c r="D870" s="59"/>
      <c r="E870" s="59"/>
      <c r="F870" s="59"/>
      <c r="G870" s="59"/>
      <c r="H870" s="61"/>
    </row>
    <row r="871" ht="14.25" customHeight="1">
      <c r="A871" s="59"/>
      <c r="B871" s="59"/>
      <c r="C871" s="59"/>
      <c r="D871" s="59"/>
      <c r="E871" s="59"/>
      <c r="F871" s="59"/>
      <c r="G871" s="59"/>
      <c r="H871" s="61"/>
    </row>
    <row r="872" ht="14.25" customHeight="1">
      <c r="A872" s="59"/>
      <c r="B872" s="59"/>
      <c r="C872" s="59"/>
      <c r="D872" s="59"/>
      <c r="E872" s="59"/>
      <c r="F872" s="59"/>
      <c r="G872" s="59"/>
      <c r="H872" s="61"/>
    </row>
    <row r="873" ht="14.25" customHeight="1">
      <c r="A873" s="59"/>
      <c r="B873" s="59"/>
      <c r="C873" s="59"/>
      <c r="D873" s="59"/>
      <c r="E873" s="59"/>
      <c r="F873" s="59"/>
      <c r="G873" s="59"/>
      <c r="H873" s="61"/>
    </row>
    <row r="874" ht="14.25" customHeight="1">
      <c r="A874" s="59"/>
      <c r="B874" s="59"/>
      <c r="C874" s="59"/>
      <c r="D874" s="59"/>
      <c r="E874" s="59"/>
      <c r="F874" s="59"/>
      <c r="G874" s="59"/>
      <c r="H874" s="61"/>
    </row>
    <row r="875" ht="14.25" customHeight="1">
      <c r="A875" s="59"/>
      <c r="B875" s="59"/>
      <c r="C875" s="59"/>
      <c r="D875" s="59"/>
      <c r="E875" s="59"/>
      <c r="F875" s="59"/>
      <c r="G875" s="59"/>
      <c r="H875" s="61"/>
    </row>
    <row r="876" ht="14.25" customHeight="1">
      <c r="A876" s="59"/>
      <c r="B876" s="59"/>
      <c r="C876" s="59"/>
      <c r="D876" s="59"/>
      <c r="E876" s="59"/>
      <c r="F876" s="59"/>
      <c r="G876" s="59"/>
      <c r="H876" s="61"/>
    </row>
    <row r="877" ht="14.25" customHeight="1">
      <c r="A877" s="59"/>
      <c r="B877" s="59"/>
      <c r="C877" s="59"/>
      <c r="D877" s="59"/>
      <c r="E877" s="59"/>
      <c r="F877" s="59"/>
      <c r="G877" s="59"/>
      <c r="H877" s="61"/>
    </row>
    <row r="878" ht="14.25" customHeight="1">
      <c r="A878" s="59"/>
      <c r="B878" s="59"/>
      <c r="C878" s="59"/>
      <c r="D878" s="59"/>
      <c r="E878" s="59"/>
      <c r="F878" s="59"/>
      <c r="G878" s="59"/>
      <c r="H878" s="61"/>
    </row>
    <row r="879" ht="14.25" customHeight="1">
      <c r="A879" s="59"/>
      <c r="B879" s="59"/>
      <c r="C879" s="59"/>
      <c r="D879" s="59"/>
      <c r="E879" s="59"/>
      <c r="F879" s="59"/>
      <c r="G879" s="59"/>
      <c r="H879" s="61"/>
    </row>
    <row r="880" ht="14.25" customHeight="1">
      <c r="A880" s="59"/>
      <c r="B880" s="59"/>
      <c r="C880" s="59"/>
      <c r="D880" s="59"/>
      <c r="E880" s="59"/>
      <c r="F880" s="59"/>
      <c r="G880" s="59"/>
      <c r="H880" s="61"/>
    </row>
    <row r="881" ht="14.25" customHeight="1">
      <c r="A881" s="59"/>
      <c r="B881" s="59"/>
      <c r="C881" s="59"/>
      <c r="D881" s="59"/>
      <c r="E881" s="59"/>
      <c r="F881" s="59"/>
      <c r="G881" s="59"/>
      <c r="H881" s="61"/>
    </row>
    <row r="882" ht="14.25" customHeight="1">
      <c r="A882" s="59"/>
      <c r="B882" s="59"/>
      <c r="C882" s="59"/>
      <c r="D882" s="59"/>
      <c r="E882" s="59"/>
      <c r="F882" s="59"/>
      <c r="G882" s="59"/>
      <c r="H882" s="61"/>
    </row>
    <row r="883" ht="14.25" customHeight="1">
      <c r="A883" s="59"/>
      <c r="B883" s="59"/>
      <c r="C883" s="59"/>
      <c r="D883" s="59"/>
      <c r="E883" s="59"/>
      <c r="F883" s="59"/>
      <c r="G883" s="59"/>
      <c r="H883" s="61"/>
    </row>
    <row r="884" ht="14.25" customHeight="1">
      <c r="A884" s="59"/>
      <c r="B884" s="59"/>
      <c r="C884" s="59"/>
      <c r="D884" s="59"/>
      <c r="E884" s="59"/>
      <c r="F884" s="59"/>
      <c r="G884" s="59"/>
      <c r="H884" s="61"/>
    </row>
    <row r="885" ht="14.25" customHeight="1">
      <c r="A885" s="59"/>
      <c r="B885" s="59"/>
      <c r="C885" s="59"/>
      <c r="D885" s="59"/>
      <c r="E885" s="59"/>
      <c r="F885" s="59"/>
      <c r="G885" s="59"/>
      <c r="H885" s="61"/>
    </row>
    <row r="886" ht="14.25" customHeight="1">
      <c r="A886" s="59"/>
      <c r="B886" s="59"/>
      <c r="C886" s="59"/>
      <c r="D886" s="59"/>
      <c r="E886" s="59"/>
      <c r="F886" s="59"/>
      <c r="G886" s="59"/>
      <c r="H886" s="61"/>
    </row>
    <row r="887" ht="14.25" customHeight="1">
      <c r="A887" s="59"/>
      <c r="B887" s="59"/>
      <c r="C887" s="59"/>
      <c r="D887" s="59"/>
      <c r="E887" s="59"/>
      <c r="F887" s="59"/>
      <c r="G887" s="59"/>
      <c r="H887" s="61"/>
    </row>
    <row r="888" ht="14.25" customHeight="1">
      <c r="A888" s="59"/>
      <c r="B888" s="59"/>
      <c r="C888" s="59"/>
      <c r="D888" s="59"/>
      <c r="E888" s="59"/>
      <c r="F888" s="59"/>
      <c r="G888" s="59"/>
      <c r="H888" s="61"/>
    </row>
    <row r="889" ht="14.25" customHeight="1">
      <c r="A889" s="59"/>
      <c r="B889" s="59"/>
      <c r="C889" s="59"/>
      <c r="D889" s="59"/>
      <c r="E889" s="59"/>
      <c r="F889" s="59"/>
      <c r="G889" s="59"/>
      <c r="H889" s="61"/>
    </row>
    <row r="890" ht="14.25" customHeight="1">
      <c r="A890" s="59"/>
      <c r="B890" s="59"/>
      <c r="C890" s="59"/>
      <c r="D890" s="59"/>
      <c r="E890" s="59"/>
      <c r="F890" s="59"/>
      <c r="G890" s="59"/>
      <c r="H890" s="61"/>
    </row>
    <row r="891" ht="14.25" customHeight="1">
      <c r="A891" s="59"/>
      <c r="B891" s="59"/>
      <c r="C891" s="59"/>
      <c r="D891" s="59"/>
      <c r="E891" s="59"/>
      <c r="F891" s="59"/>
      <c r="G891" s="59"/>
      <c r="H891" s="61"/>
    </row>
    <row r="892" ht="14.25" customHeight="1">
      <c r="A892" s="59"/>
      <c r="B892" s="59"/>
      <c r="C892" s="59"/>
      <c r="D892" s="59"/>
      <c r="E892" s="59"/>
      <c r="F892" s="59"/>
      <c r="G892" s="59"/>
      <c r="H892" s="61"/>
    </row>
    <row r="893" ht="14.25" customHeight="1">
      <c r="A893" s="59"/>
      <c r="B893" s="59"/>
      <c r="C893" s="59"/>
      <c r="D893" s="59"/>
      <c r="E893" s="59"/>
      <c r="F893" s="59"/>
      <c r="G893" s="59"/>
      <c r="H893" s="61"/>
    </row>
    <row r="894" ht="14.25" customHeight="1">
      <c r="A894" s="59"/>
      <c r="B894" s="59"/>
      <c r="C894" s="59"/>
      <c r="D894" s="59"/>
      <c r="E894" s="59"/>
      <c r="F894" s="59"/>
      <c r="G894" s="59"/>
      <c r="H894" s="61"/>
    </row>
    <row r="895" ht="14.25" customHeight="1">
      <c r="A895" s="59"/>
      <c r="B895" s="59"/>
      <c r="C895" s="59"/>
      <c r="D895" s="59"/>
      <c r="E895" s="59"/>
      <c r="F895" s="59"/>
      <c r="G895" s="59"/>
      <c r="H895" s="61"/>
    </row>
    <row r="896" ht="14.25" customHeight="1">
      <c r="A896" s="59"/>
      <c r="B896" s="59"/>
      <c r="C896" s="59"/>
      <c r="D896" s="59"/>
      <c r="E896" s="59"/>
      <c r="F896" s="59"/>
      <c r="G896" s="59"/>
      <c r="H896" s="61"/>
    </row>
    <row r="897" ht="14.25" customHeight="1">
      <c r="A897" s="59"/>
      <c r="B897" s="59"/>
      <c r="C897" s="59"/>
      <c r="D897" s="59"/>
      <c r="E897" s="59"/>
      <c r="F897" s="59"/>
      <c r="G897" s="59"/>
      <c r="H897" s="61"/>
    </row>
    <row r="898" ht="14.25" customHeight="1">
      <c r="A898" s="59"/>
      <c r="B898" s="59"/>
      <c r="C898" s="59"/>
      <c r="D898" s="59"/>
      <c r="E898" s="59"/>
      <c r="F898" s="59"/>
      <c r="G898" s="59"/>
      <c r="H898" s="61"/>
    </row>
    <row r="899" ht="14.25" customHeight="1">
      <c r="A899" s="59"/>
      <c r="B899" s="59"/>
      <c r="C899" s="59"/>
      <c r="D899" s="59"/>
      <c r="E899" s="59"/>
      <c r="F899" s="59"/>
      <c r="G899" s="59"/>
      <c r="H899" s="61"/>
    </row>
    <row r="900" ht="14.25" customHeight="1">
      <c r="A900" s="59"/>
      <c r="B900" s="59"/>
      <c r="C900" s="59"/>
      <c r="D900" s="59"/>
      <c r="E900" s="59"/>
      <c r="F900" s="59"/>
      <c r="G900" s="59"/>
      <c r="H900" s="61"/>
    </row>
    <row r="901" ht="14.25" customHeight="1">
      <c r="A901" s="59"/>
      <c r="B901" s="59"/>
      <c r="C901" s="59"/>
      <c r="D901" s="59"/>
      <c r="E901" s="59"/>
      <c r="F901" s="59"/>
      <c r="G901" s="59"/>
      <c r="H901" s="61"/>
    </row>
    <row r="902" ht="14.25" customHeight="1">
      <c r="A902" s="59"/>
      <c r="B902" s="59"/>
      <c r="C902" s="59"/>
      <c r="D902" s="59"/>
      <c r="E902" s="59"/>
      <c r="F902" s="59"/>
      <c r="G902" s="59"/>
      <c r="H902" s="61"/>
    </row>
    <row r="903" ht="14.25" customHeight="1">
      <c r="A903" s="59"/>
      <c r="B903" s="59"/>
      <c r="C903" s="59"/>
      <c r="D903" s="59"/>
      <c r="E903" s="59"/>
      <c r="F903" s="59"/>
      <c r="G903" s="59"/>
      <c r="H903" s="61"/>
    </row>
    <row r="904" ht="14.25" customHeight="1">
      <c r="A904" s="59"/>
      <c r="B904" s="59"/>
      <c r="C904" s="59"/>
      <c r="D904" s="59"/>
      <c r="E904" s="59"/>
      <c r="F904" s="59"/>
      <c r="G904" s="59"/>
      <c r="H904" s="61"/>
    </row>
    <row r="905" ht="14.25" customHeight="1">
      <c r="A905" s="59"/>
      <c r="B905" s="59"/>
      <c r="C905" s="59"/>
      <c r="D905" s="59"/>
      <c r="E905" s="59"/>
      <c r="F905" s="59"/>
      <c r="G905" s="59"/>
      <c r="H905" s="61"/>
    </row>
    <row r="906" ht="14.25" customHeight="1">
      <c r="A906" s="59"/>
      <c r="B906" s="59"/>
      <c r="C906" s="59"/>
      <c r="D906" s="59"/>
      <c r="E906" s="59"/>
      <c r="F906" s="59"/>
      <c r="G906" s="59"/>
      <c r="H906" s="61"/>
    </row>
    <row r="907" ht="14.25" customHeight="1">
      <c r="A907" s="59"/>
      <c r="B907" s="59"/>
      <c r="C907" s="59"/>
      <c r="D907" s="59"/>
      <c r="E907" s="59"/>
      <c r="F907" s="59"/>
      <c r="G907" s="59"/>
      <c r="H907" s="61"/>
    </row>
    <row r="908" ht="14.25" customHeight="1">
      <c r="A908" s="59"/>
      <c r="B908" s="59"/>
      <c r="C908" s="59"/>
      <c r="D908" s="59"/>
      <c r="E908" s="59"/>
      <c r="F908" s="59"/>
      <c r="G908" s="59"/>
      <c r="H908" s="61"/>
    </row>
    <row r="909" ht="14.25" customHeight="1">
      <c r="A909" s="59"/>
      <c r="B909" s="59"/>
      <c r="C909" s="59"/>
      <c r="D909" s="59"/>
      <c r="E909" s="59"/>
      <c r="F909" s="59"/>
      <c r="G909" s="59"/>
      <c r="H909" s="61"/>
    </row>
    <row r="910" ht="14.25" customHeight="1">
      <c r="A910" s="59"/>
      <c r="B910" s="59"/>
      <c r="C910" s="59"/>
      <c r="D910" s="59"/>
      <c r="E910" s="59"/>
      <c r="F910" s="59"/>
      <c r="G910" s="59"/>
      <c r="H910" s="61"/>
    </row>
    <row r="911" ht="14.25" customHeight="1">
      <c r="A911" s="59"/>
      <c r="B911" s="59"/>
      <c r="C911" s="59"/>
      <c r="D911" s="59"/>
      <c r="E911" s="59"/>
      <c r="F911" s="59"/>
      <c r="G911" s="59"/>
      <c r="H911" s="61"/>
    </row>
    <row r="912" ht="14.25" customHeight="1">
      <c r="A912" s="59"/>
      <c r="B912" s="59"/>
      <c r="C912" s="59"/>
      <c r="D912" s="59"/>
      <c r="E912" s="59"/>
      <c r="F912" s="59"/>
      <c r="G912" s="59"/>
      <c r="H912" s="61"/>
    </row>
    <row r="913" ht="14.25" customHeight="1">
      <c r="A913" s="59"/>
      <c r="B913" s="59"/>
      <c r="C913" s="59"/>
      <c r="D913" s="59"/>
      <c r="E913" s="59"/>
      <c r="F913" s="59"/>
      <c r="G913" s="59"/>
      <c r="H913" s="61"/>
    </row>
    <row r="914" ht="14.25" customHeight="1">
      <c r="A914" s="59"/>
      <c r="B914" s="59"/>
      <c r="C914" s="59"/>
      <c r="D914" s="59"/>
      <c r="E914" s="59"/>
      <c r="F914" s="59"/>
      <c r="G914" s="59"/>
      <c r="H914" s="61"/>
    </row>
    <row r="915" ht="14.25" customHeight="1">
      <c r="A915" s="59"/>
      <c r="B915" s="59"/>
      <c r="C915" s="59"/>
      <c r="D915" s="59"/>
      <c r="E915" s="59"/>
      <c r="F915" s="59"/>
      <c r="G915" s="59"/>
      <c r="H915" s="61"/>
    </row>
    <row r="916" ht="14.25" customHeight="1">
      <c r="A916" s="59"/>
      <c r="B916" s="59"/>
      <c r="C916" s="59"/>
      <c r="D916" s="59"/>
      <c r="E916" s="59"/>
      <c r="F916" s="59"/>
      <c r="G916" s="59"/>
      <c r="H916" s="61"/>
    </row>
    <row r="917" ht="14.25" customHeight="1">
      <c r="A917" s="59"/>
      <c r="B917" s="59"/>
      <c r="C917" s="59"/>
      <c r="D917" s="59"/>
      <c r="E917" s="59"/>
      <c r="F917" s="59"/>
      <c r="G917" s="59"/>
      <c r="H917" s="61"/>
    </row>
    <row r="918" ht="14.25" customHeight="1">
      <c r="A918" s="59"/>
      <c r="B918" s="59"/>
      <c r="C918" s="59"/>
      <c r="D918" s="59"/>
      <c r="E918" s="59"/>
      <c r="F918" s="59"/>
      <c r="G918" s="59"/>
      <c r="H918" s="61"/>
    </row>
    <row r="919" ht="14.25" customHeight="1">
      <c r="A919" s="59"/>
      <c r="B919" s="59"/>
      <c r="C919" s="59"/>
      <c r="D919" s="59"/>
      <c r="E919" s="59"/>
      <c r="F919" s="59"/>
      <c r="G919" s="59"/>
      <c r="H919" s="61"/>
    </row>
    <row r="920" ht="14.25" customHeight="1">
      <c r="A920" s="59"/>
      <c r="B920" s="59"/>
      <c r="C920" s="59"/>
      <c r="D920" s="59"/>
      <c r="E920" s="59"/>
      <c r="F920" s="59"/>
      <c r="G920" s="59"/>
      <c r="H920" s="61"/>
    </row>
    <row r="921" ht="14.25" customHeight="1">
      <c r="A921" s="59"/>
      <c r="B921" s="59"/>
      <c r="C921" s="59"/>
      <c r="D921" s="59"/>
      <c r="E921" s="59"/>
      <c r="F921" s="59"/>
      <c r="G921" s="59"/>
      <c r="H921" s="61"/>
    </row>
    <row r="922" ht="14.25" customHeight="1">
      <c r="A922" s="59"/>
      <c r="B922" s="59"/>
      <c r="C922" s="59"/>
      <c r="D922" s="59"/>
      <c r="E922" s="59"/>
      <c r="F922" s="59"/>
      <c r="G922" s="59"/>
      <c r="H922" s="61"/>
    </row>
    <row r="923" ht="14.25" customHeight="1">
      <c r="A923" s="59"/>
      <c r="B923" s="59"/>
      <c r="C923" s="59"/>
      <c r="D923" s="59"/>
      <c r="E923" s="59"/>
      <c r="F923" s="59"/>
      <c r="G923" s="59"/>
      <c r="H923" s="61"/>
    </row>
    <row r="924" ht="14.25" customHeight="1">
      <c r="A924" s="59"/>
      <c r="B924" s="59"/>
      <c r="C924" s="59"/>
      <c r="D924" s="59"/>
      <c r="E924" s="59"/>
      <c r="F924" s="59"/>
      <c r="G924" s="59"/>
      <c r="H924" s="61"/>
    </row>
    <row r="925" ht="14.25" customHeight="1">
      <c r="A925" s="59"/>
      <c r="B925" s="59"/>
      <c r="C925" s="59"/>
      <c r="D925" s="59"/>
      <c r="E925" s="59"/>
      <c r="F925" s="59"/>
      <c r="G925" s="59"/>
      <c r="H925" s="61"/>
    </row>
    <row r="926" ht="14.25" customHeight="1">
      <c r="A926" s="59"/>
      <c r="B926" s="59"/>
      <c r="C926" s="59"/>
      <c r="D926" s="59"/>
      <c r="E926" s="59"/>
      <c r="F926" s="59"/>
      <c r="G926" s="59"/>
      <c r="H926" s="61"/>
    </row>
    <row r="927" ht="14.25" customHeight="1">
      <c r="A927" s="59"/>
      <c r="B927" s="59"/>
      <c r="C927" s="59"/>
      <c r="D927" s="59"/>
      <c r="E927" s="59"/>
      <c r="F927" s="59"/>
      <c r="G927" s="59"/>
      <c r="H927" s="61"/>
    </row>
    <row r="928" ht="14.25" customHeight="1">
      <c r="A928" s="59"/>
      <c r="B928" s="59"/>
      <c r="C928" s="59"/>
      <c r="D928" s="59"/>
      <c r="E928" s="59"/>
      <c r="F928" s="59"/>
      <c r="G928" s="59"/>
      <c r="H928" s="61"/>
    </row>
    <row r="929" ht="14.25" customHeight="1">
      <c r="A929" s="59"/>
      <c r="B929" s="59"/>
      <c r="C929" s="59"/>
      <c r="D929" s="59"/>
      <c r="E929" s="59"/>
      <c r="F929" s="59"/>
      <c r="G929" s="59"/>
      <c r="H929" s="61"/>
    </row>
    <row r="930" ht="14.25" customHeight="1">
      <c r="A930" s="59"/>
      <c r="B930" s="59"/>
      <c r="C930" s="59"/>
      <c r="D930" s="59"/>
      <c r="E930" s="59"/>
      <c r="F930" s="59"/>
      <c r="G930" s="59"/>
      <c r="H930" s="61"/>
    </row>
    <row r="931" ht="14.25" customHeight="1">
      <c r="A931" s="59"/>
      <c r="B931" s="59"/>
      <c r="C931" s="59"/>
      <c r="D931" s="59"/>
      <c r="E931" s="59"/>
      <c r="F931" s="59"/>
      <c r="G931" s="59"/>
      <c r="H931" s="61"/>
    </row>
    <row r="932" ht="14.25" customHeight="1">
      <c r="A932" s="59"/>
      <c r="B932" s="59"/>
      <c r="C932" s="59"/>
      <c r="D932" s="59"/>
      <c r="E932" s="59"/>
      <c r="F932" s="59"/>
      <c r="G932" s="59"/>
      <c r="H932" s="61"/>
    </row>
    <row r="933" ht="14.25" customHeight="1">
      <c r="A933" s="59"/>
      <c r="B933" s="59"/>
      <c r="C933" s="59"/>
      <c r="D933" s="59"/>
      <c r="E933" s="59"/>
      <c r="F933" s="59"/>
      <c r="G933" s="59"/>
      <c r="H933" s="61"/>
    </row>
    <row r="934" ht="14.25" customHeight="1">
      <c r="A934" s="59"/>
      <c r="B934" s="59"/>
      <c r="C934" s="59"/>
      <c r="D934" s="59"/>
      <c r="E934" s="59"/>
      <c r="F934" s="59"/>
      <c r="G934" s="59"/>
      <c r="H934" s="61"/>
    </row>
    <row r="935" ht="14.25" customHeight="1">
      <c r="A935" s="59"/>
      <c r="B935" s="59"/>
      <c r="C935" s="59"/>
      <c r="D935" s="59"/>
      <c r="E935" s="59"/>
      <c r="F935" s="59"/>
      <c r="G935" s="59"/>
      <c r="H935" s="61"/>
    </row>
    <row r="936" ht="14.25" customHeight="1">
      <c r="A936" s="59"/>
      <c r="B936" s="59"/>
      <c r="C936" s="59"/>
      <c r="D936" s="59"/>
      <c r="E936" s="59"/>
      <c r="F936" s="59"/>
      <c r="G936" s="59"/>
      <c r="H936" s="61"/>
    </row>
    <row r="937" ht="14.25" customHeight="1">
      <c r="A937" s="59"/>
      <c r="B937" s="59"/>
      <c r="C937" s="59"/>
      <c r="D937" s="59"/>
      <c r="E937" s="59"/>
      <c r="F937" s="59"/>
      <c r="G937" s="59"/>
      <c r="H937" s="61"/>
    </row>
    <row r="938" ht="14.25" customHeight="1">
      <c r="A938" s="59"/>
      <c r="B938" s="59"/>
      <c r="C938" s="59"/>
      <c r="D938" s="59"/>
      <c r="E938" s="59"/>
      <c r="F938" s="59"/>
      <c r="G938" s="59"/>
      <c r="H938" s="61"/>
    </row>
    <row r="939" ht="14.25" customHeight="1">
      <c r="A939" s="59"/>
      <c r="B939" s="59"/>
      <c r="C939" s="59"/>
      <c r="D939" s="59"/>
      <c r="E939" s="59"/>
      <c r="F939" s="59"/>
      <c r="G939" s="59"/>
      <c r="H939" s="61"/>
    </row>
    <row r="940" ht="14.25" customHeight="1">
      <c r="A940" s="59"/>
      <c r="B940" s="59"/>
      <c r="C940" s="59"/>
      <c r="D940" s="59"/>
      <c r="E940" s="59"/>
      <c r="F940" s="59"/>
      <c r="G940" s="59"/>
      <c r="H940" s="61"/>
    </row>
    <row r="941" ht="14.25" customHeight="1">
      <c r="A941" s="59"/>
      <c r="B941" s="59"/>
      <c r="C941" s="59"/>
      <c r="D941" s="59"/>
      <c r="E941" s="59"/>
      <c r="F941" s="59"/>
      <c r="G941" s="59"/>
      <c r="H941" s="61"/>
    </row>
    <row r="942" ht="14.25" customHeight="1">
      <c r="A942" s="59"/>
      <c r="B942" s="59"/>
      <c r="C942" s="59"/>
      <c r="D942" s="59"/>
      <c r="E942" s="59"/>
      <c r="F942" s="59"/>
      <c r="G942" s="59"/>
      <c r="H942" s="61"/>
    </row>
    <row r="943" ht="14.25" customHeight="1">
      <c r="A943" s="59"/>
      <c r="B943" s="59"/>
      <c r="C943" s="59"/>
      <c r="D943" s="59"/>
      <c r="E943" s="59"/>
      <c r="F943" s="59"/>
      <c r="G943" s="59"/>
      <c r="H943" s="61"/>
    </row>
    <row r="944" ht="14.25" customHeight="1">
      <c r="A944" s="59"/>
      <c r="B944" s="59"/>
      <c r="C944" s="59"/>
      <c r="D944" s="59"/>
      <c r="E944" s="59"/>
      <c r="F944" s="59"/>
      <c r="G944" s="59"/>
      <c r="H944" s="61"/>
    </row>
    <row r="945" ht="14.25" customHeight="1">
      <c r="A945" s="59"/>
      <c r="B945" s="59"/>
      <c r="C945" s="59"/>
      <c r="D945" s="59"/>
      <c r="E945" s="59"/>
      <c r="F945" s="59"/>
      <c r="G945" s="59"/>
      <c r="H945" s="61"/>
    </row>
    <row r="946" ht="14.25" customHeight="1">
      <c r="A946" s="59"/>
      <c r="B946" s="59"/>
      <c r="C946" s="59"/>
      <c r="D946" s="59"/>
      <c r="E946" s="59"/>
      <c r="F946" s="59"/>
      <c r="G946" s="59"/>
      <c r="H946" s="61"/>
    </row>
    <row r="947" ht="14.25" customHeight="1">
      <c r="A947" s="59"/>
      <c r="B947" s="59"/>
      <c r="C947" s="59"/>
      <c r="D947" s="59"/>
      <c r="E947" s="59"/>
      <c r="F947" s="59"/>
      <c r="G947" s="59"/>
      <c r="H947" s="61"/>
    </row>
    <row r="948" ht="14.25" customHeight="1">
      <c r="A948" s="59"/>
      <c r="B948" s="59"/>
      <c r="C948" s="59"/>
      <c r="D948" s="59"/>
      <c r="E948" s="59"/>
      <c r="F948" s="59"/>
      <c r="G948" s="59"/>
      <c r="H948" s="61"/>
    </row>
    <row r="949" ht="14.25" customHeight="1">
      <c r="A949" s="59"/>
      <c r="B949" s="59"/>
      <c r="C949" s="59"/>
      <c r="D949" s="59"/>
      <c r="E949" s="59"/>
      <c r="F949" s="59"/>
      <c r="G949" s="59"/>
      <c r="H949" s="61"/>
    </row>
    <row r="950" ht="14.25" customHeight="1">
      <c r="A950" s="59"/>
      <c r="B950" s="59"/>
      <c r="C950" s="59"/>
      <c r="D950" s="59"/>
      <c r="E950" s="59"/>
      <c r="F950" s="59"/>
      <c r="G950" s="59"/>
      <c r="H950" s="61"/>
    </row>
    <row r="951" ht="14.25" customHeight="1">
      <c r="A951" s="59"/>
      <c r="B951" s="59"/>
      <c r="C951" s="59"/>
      <c r="D951" s="59"/>
      <c r="E951" s="59"/>
      <c r="F951" s="59"/>
      <c r="G951" s="59"/>
      <c r="H951" s="61"/>
    </row>
    <row r="952" ht="14.25" customHeight="1">
      <c r="A952" s="59"/>
      <c r="B952" s="59"/>
      <c r="C952" s="59"/>
      <c r="D952" s="59"/>
      <c r="E952" s="59"/>
      <c r="F952" s="59"/>
      <c r="G952" s="59"/>
      <c r="H952" s="61"/>
    </row>
    <row r="953" ht="14.25" customHeight="1">
      <c r="A953" s="59"/>
      <c r="B953" s="59"/>
      <c r="C953" s="59"/>
      <c r="D953" s="59"/>
      <c r="E953" s="59"/>
      <c r="F953" s="59"/>
      <c r="G953" s="59"/>
      <c r="H953" s="61"/>
    </row>
    <row r="954" ht="14.25" customHeight="1">
      <c r="A954" s="59"/>
      <c r="B954" s="59"/>
      <c r="C954" s="59"/>
      <c r="D954" s="59"/>
      <c r="E954" s="59"/>
      <c r="F954" s="59"/>
      <c r="G954" s="59"/>
      <c r="H954" s="61"/>
    </row>
    <row r="955" ht="14.25" customHeight="1">
      <c r="A955" s="59"/>
      <c r="B955" s="59"/>
      <c r="C955" s="59"/>
      <c r="D955" s="59"/>
      <c r="E955" s="59"/>
      <c r="F955" s="59"/>
      <c r="G955" s="59"/>
      <c r="H955" s="61"/>
    </row>
    <row r="956" ht="14.25" customHeight="1">
      <c r="A956" s="59"/>
      <c r="B956" s="59"/>
      <c r="C956" s="59"/>
      <c r="D956" s="59"/>
      <c r="E956" s="59"/>
      <c r="F956" s="59"/>
      <c r="G956" s="59"/>
      <c r="H956" s="61"/>
    </row>
    <row r="957" ht="14.25" customHeight="1">
      <c r="A957" s="59"/>
      <c r="B957" s="59"/>
      <c r="C957" s="59"/>
      <c r="D957" s="59"/>
      <c r="E957" s="59"/>
      <c r="F957" s="59"/>
      <c r="G957" s="59"/>
      <c r="H957" s="61"/>
    </row>
    <row r="958" ht="14.25" customHeight="1">
      <c r="A958" s="59"/>
      <c r="B958" s="59"/>
      <c r="C958" s="59"/>
      <c r="D958" s="59"/>
      <c r="E958" s="59"/>
      <c r="F958" s="59"/>
      <c r="G958" s="59"/>
      <c r="H958" s="61"/>
    </row>
    <row r="959" ht="14.25" customHeight="1">
      <c r="A959" s="59"/>
      <c r="B959" s="59"/>
      <c r="C959" s="59"/>
      <c r="D959" s="59"/>
      <c r="E959" s="59"/>
      <c r="F959" s="59"/>
      <c r="G959" s="59"/>
      <c r="H959" s="61"/>
    </row>
    <row r="960" ht="14.25" customHeight="1">
      <c r="A960" s="59"/>
      <c r="B960" s="59"/>
      <c r="C960" s="59"/>
      <c r="D960" s="59"/>
      <c r="E960" s="59"/>
      <c r="F960" s="59"/>
      <c r="G960" s="59"/>
      <c r="H960" s="61"/>
    </row>
    <row r="961" ht="14.25" customHeight="1">
      <c r="A961" s="59"/>
      <c r="B961" s="59"/>
      <c r="C961" s="59"/>
      <c r="D961" s="59"/>
      <c r="E961" s="59"/>
      <c r="F961" s="59"/>
      <c r="G961" s="59"/>
      <c r="H961" s="61"/>
    </row>
    <row r="962" ht="14.25" customHeight="1">
      <c r="A962" s="59"/>
      <c r="B962" s="59"/>
      <c r="C962" s="59"/>
      <c r="D962" s="59"/>
      <c r="E962" s="59"/>
      <c r="F962" s="59"/>
      <c r="G962" s="59"/>
      <c r="H962" s="61"/>
    </row>
    <row r="963" ht="14.25" customHeight="1">
      <c r="A963" s="59"/>
      <c r="B963" s="59"/>
      <c r="C963" s="59"/>
      <c r="D963" s="59"/>
      <c r="E963" s="59"/>
      <c r="F963" s="59"/>
      <c r="G963" s="59"/>
      <c r="H963" s="61"/>
    </row>
    <row r="964" ht="14.25" customHeight="1">
      <c r="A964" s="59"/>
      <c r="B964" s="59"/>
      <c r="C964" s="59"/>
      <c r="D964" s="59"/>
      <c r="E964" s="59"/>
      <c r="F964" s="59"/>
      <c r="G964" s="59"/>
      <c r="H964" s="61"/>
    </row>
    <row r="965" ht="14.25" customHeight="1">
      <c r="A965" s="59"/>
      <c r="B965" s="59"/>
      <c r="C965" s="59"/>
      <c r="D965" s="59"/>
      <c r="E965" s="59"/>
      <c r="F965" s="59"/>
      <c r="G965" s="59"/>
      <c r="H965" s="61"/>
    </row>
    <row r="966" ht="14.25" customHeight="1">
      <c r="A966" s="59"/>
      <c r="B966" s="59"/>
      <c r="C966" s="59"/>
      <c r="D966" s="59"/>
      <c r="E966" s="59"/>
      <c r="F966" s="59"/>
      <c r="G966" s="59"/>
      <c r="H966" s="61"/>
    </row>
    <row r="967" ht="14.25" customHeight="1">
      <c r="A967" s="59"/>
      <c r="B967" s="59"/>
      <c r="C967" s="59"/>
      <c r="D967" s="59"/>
      <c r="E967" s="59"/>
      <c r="F967" s="59"/>
      <c r="G967" s="59"/>
      <c r="H967" s="61"/>
    </row>
    <row r="968" ht="14.25" customHeight="1">
      <c r="A968" s="59"/>
      <c r="B968" s="59"/>
      <c r="C968" s="59"/>
      <c r="D968" s="59"/>
      <c r="E968" s="59"/>
      <c r="F968" s="59"/>
      <c r="G968" s="59"/>
      <c r="H968" s="61"/>
    </row>
    <row r="969" ht="14.25" customHeight="1">
      <c r="A969" s="59"/>
      <c r="B969" s="59"/>
      <c r="C969" s="59"/>
      <c r="D969" s="59"/>
      <c r="E969" s="59"/>
      <c r="F969" s="59"/>
      <c r="G969" s="59"/>
      <c r="H969" s="61"/>
    </row>
    <row r="970" ht="14.25" customHeight="1">
      <c r="A970" s="59"/>
      <c r="B970" s="59"/>
      <c r="C970" s="59"/>
      <c r="D970" s="59"/>
      <c r="E970" s="59"/>
      <c r="F970" s="59"/>
      <c r="G970" s="59"/>
      <c r="H970" s="61"/>
    </row>
    <row r="971" ht="14.25" customHeight="1">
      <c r="A971" s="59"/>
      <c r="B971" s="59"/>
      <c r="C971" s="59"/>
      <c r="D971" s="59"/>
      <c r="E971" s="59"/>
      <c r="F971" s="59"/>
      <c r="G971" s="59"/>
      <c r="H971" s="61"/>
    </row>
    <row r="972" ht="14.25" customHeight="1">
      <c r="A972" s="59"/>
      <c r="B972" s="59"/>
      <c r="C972" s="59"/>
      <c r="D972" s="59"/>
      <c r="E972" s="59"/>
      <c r="F972" s="59"/>
      <c r="G972" s="59"/>
      <c r="H972" s="61"/>
    </row>
    <row r="973" ht="14.25" customHeight="1">
      <c r="A973" s="59"/>
      <c r="B973" s="59"/>
      <c r="C973" s="59"/>
      <c r="D973" s="59"/>
      <c r="E973" s="59"/>
      <c r="F973" s="59"/>
      <c r="G973" s="59"/>
      <c r="H973" s="61"/>
    </row>
    <row r="974" ht="14.25" customHeight="1">
      <c r="A974" s="59"/>
      <c r="B974" s="59"/>
      <c r="C974" s="59"/>
      <c r="D974" s="59"/>
      <c r="E974" s="59"/>
      <c r="F974" s="59"/>
      <c r="G974" s="59"/>
      <c r="H974" s="61"/>
    </row>
    <row r="975" ht="14.25" customHeight="1">
      <c r="A975" s="59"/>
      <c r="B975" s="59"/>
      <c r="C975" s="59"/>
      <c r="D975" s="59"/>
      <c r="E975" s="59"/>
      <c r="F975" s="59"/>
      <c r="G975" s="59"/>
      <c r="H975" s="61"/>
    </row>
    <row r="976" ht="14.25" customHeight="1">
      <c r="A976" s="59"/>
      <c r="B976" s="59"/>
      <c r="C976" s="59"/>
      <c r="D976" s="59"/>
      <c r="E976" s="59"/>
      <c r="F976" s="59"/>
      <c r="G976" s="59"/>
      <c r="H976" s="61"/>
    </row>
    <row r="977" ht="14.25" customHeight="1">
      <c r="A977" s="59"/>
      <c r="B977" s="59"/>
      <c r="C977" s="59"/>
      <c r="D977" s="59"/>
      <c r="E977" s="59"/>
      <c r="F977" s="59"/>
      <c r="G977" s="59"/>
      <c r="H977" s="61"/>
    </row>
    <row r="978" ht="14.25" customHeight="1">
      <c r="A978" s="59"/>
      <c r="B978" s="59"/>
      <c r="C978" s="59"/>
      <c r="D978" s="59"/>
      <c r="E978" s="59"/>
      <c r="F978" s="59"/>
      <c r="G978" s="59"/>
      <c r="H978" s="61"/>
    </row>
    <row r="979" ht="14.25" customHeight="1">
      <c r="A979" s="59"/>
      <c r="B979" s="59"/>
      <c r="C979" s="59"/>
      <c r="D979" s="59"/>
      <c r="E979" s="59"/>
      <c r="F979" s="59"/>
      <c r="G979" s="59"/>
      <c r="H979" s="61"/>
    </row>
    <row r="980" ht="14.25" customHeight="1">
      <c r="A980" s="59"/>
      <c r="B980" s="59"/>
      <c r="C980" s="59"/>
      <c r="D980" s="59"/>
      <c r="E980" s="59"/>
      <c r="F980" s="59"/>
      <c r="G980" s="59"/>
      <c r="H980" s="61"/>
    </row>
    <row r="981" ht="14.25" customHeight="1">
      <c r="A981" s="59"/>
      <c r="B981" s="59"/>
      <c r="C981" s="59"/>
      <c r="D981" s="59"/>
      <c r="E981" s="59"/>
      <c r="F981" s="59"/>
      <c r="G981" s="59"/>
      <c r="H981" s="61"/>
    </row>
    <row r="982" ht="14.25" customHeight="1">
      <c r="A982" s="59"/>
      <c r="B982" s="59"/>
      <c r="C982" s="59"/>
      <c r="D982" s="59"/>
      <c r="E982" s="59"/>
      <c r="F982" s="59"/>
      <c r="G982" s="59"/>
      <c r="H982" s="61"/>
    </row>
    <row r="983" ht="14.25" customHeight="1">
      <c r="A983" s="59"/>
      <c r="B983" s="59"/>
      <c r="C983" s="59"/>
      <c r="D983" s="59"/>
      <c r="E983" s="59"/>
      <c r="F983" s="59"/>
      <c r="G983" s="59"/>
      <c r="H983" s="61"/>
    </row>
    <row r="984" ht="14.25" customHeight="1">
      <c r="A984" s="59"/>
      <c r="B984" s="59"/>
      <c r="C984" s="59"/>
      <c r="D984" s="59"/>
      <c r="E984" s="59"/>
      <c r="F984" s="59"/>
      <c r="G984" s="59"/>
      <c r="H984" s="61"/>
    </row>
    <row r="985" ht="14.25" customHeight="1">
      <c r="A985" s="59"/>
      <c r="B985" s="59"/>
      <c r="C985" s="59"/>
      <c r="D985" s="59"/>
      <c r="E985" s="59"/>
      <c r="F985" s="59"/>
      <c r="G985" s="59"/>
      <c r="H985" s="61"/>
    </row>
    <row r="986" ht="14.25" customHeight="1">
      <c r="A986" s="59"/>
      <c r="B986" s="59"/>
      <c r="C986" s="59"/>
      <c r="D986" s="59"/>
      <c r="E986" s="59"/>
      <c r="F986" s="59"/>
      <c r="G986" s="59"/>
      <c r="H986" s="61"/>
    </row>
    <row r="987" ht="14.25" customHeight="1">
      <c r="A987" s="59"/>
      <c r="B987" s="59"/>
      <c r="C987" s="59"/>
      <c r="D987" s="59"/>
      <c r="E987" s="59"/>
      <c r="F987" s="59"/>
      <c r="G987" s="59"/>
      <c r="H987" s="61"/>
    </row>
    <row r="988" ht="14.25" customHeight="1">
      <c r="A988" s="59"/>
      <c r="B988" s="59"/>
      <c r="C988" s="59"/>
      <c r="D988" s="59"/>
      <c r="E988" s="59"/>
      <c r="F988" s="59"/>
      <c r="G988" s="59"/>
      <c r="H988" s="61"/>
    </row>
    <row r="989" ht="14.25" customHeight="1">
      <c r="A989" s="59"/>
      <c r="B989" s="59"/>
      <c r="C989" s="59"/>
      <c r="D989" s="59"/>
      <c r="E989" s="59"/>
      <c r="F989" s="59"/>
      <c r="G989" s="59"/>
      <c r="H989" s="61"/>
    </row>
    <row r="990" ht="14.25" customHeight="1">
      <c r="A990" s="59"/>
      <c r="B990" s="59"/>
      <c r="C990" s="59"/>
      <c r="D990" s="59"/>
      <c r="E990" s="59"/>
      <c r="F990" s="59"/>
      <c r="G990" s="59"/>
      <c r="H990" s="61"/>
    </row>
    <row r="991" ht="14.25" customHeight="1">
      <c r="A991" s="59"/>
      <c r="B991" s="59"/>
      <c r="C991" s="59"/>
      <c r="D991" s="59"/>
      <c r="E991" s="59"/>
      <c r="F991" s="59"/>
      <c r="G991" s="59"/>
      <c r="H991" s="61"/>
    </row>
    <row r="992" ht="14.25" customHeight="1">
      <c r="A992" s="59"/>
      <c r="B992" s="59"/>
      <c r="C992" s="59"/>
      <c r="D992" s="59"/>
      <c r="E992" s="59"/>
      <c r="F992" s="59"/>
      <c r="G992" s="59"/>
      <c r="H992" s="61"/>
    </row>
    <row r="993" ht="14.25" customHeight="1">
      <c r="A993" s="59"/>
      <c r="B993" s="59"/>
      <c r="C993" s="59"/>
      <c r="D993" s="59"/>
      <c r="E993" s="59"/>
      <c r="F993" s="59"/>
      <c r="G993" s="59"/>
      <c r="H993" s="61"/>
    </row>
    <row r="994" ht="14.25" customHeight="1">
      <c r="A994" s="59"/>
      <c r="B994" s="59"/>
      <c r="C994" s="59"/>
      <c r="D994" s="59"/>
      <c r="E994" s="59"/>
      <c r="F994" s="59"/>
      <c r="G994" s="59"/>
      <c r="H994" s="61"/>
    </row>
    <row r="995" ht="14.25" customHeight="1">
      <c r="A995" s="59"/>
      <c r="B995" s="59"/>
      <c r="C995" s="59"/>
      <c r="D995" s="59"/>
      <c r="E995" s="59"/>
      <c r="F995" s="59"/>
      <c r="G995" s="59"/>
      <c r="H995" s="61"/>
    </row>
    <row r="996" ht="14.25" customHeight="1">
      <c r="A996" s="59"/>
      <c r="B996" s="59"/>
      <c r="C996" s="59"/>
      <c r="D996" s="59"/>
      <c r="E996" s="59"/>
      <c r="F996" s="59"/>
      <c r="G996" s="59"/>
      <c r="H996" s="61"/>
    </row>
    <row r="997" ht="14.25" customHeight="1">
      <c r="A997" s="59"/>
      <c r="B997" s="59"/>
      <c r="C997" s="59"/>
      <c r="D997" s="59"/>
      <c r="E997" s="59"/>
      <c r="F997" s="59"/>
      <c r="G997" s="59"/>
      <c r="H997" s="61"/>
    </row>
    <row r="998" ht="14.25" customHeight="1">
      <c r="A998" s="59"/>
      <c r="B998" s="59"/>
      <c r="C998" s="59"/>
      <c r="D998" s="59"/>
      <c r="E998" s="59"/>
      <c r="F998" s="59"/>
      <c r="G998" s="59"/>
      <c r="H998" s="61"/>
    </row>
    <row r="999" ht="14.25" customHeight="1">
      <c r="A999" s="59"/>
      <c r="B999" s="59"/>
      <c r="C999" s="59"/>
      <c r="D999" s="59"/>
      <c r="E999" s="59"/>
      <c r="F999" s="59"/>
      <c r="G999" s="59"/>
      <c r="H999" s="61"/>
    </row>
    <row r="1000" ht="14.25" customHeight="1">
      <c r="A1000" s="59"/>
      <c r="B1000" s="59"/>
      <c r="C1000" s="59"/>
      <c r="D1000" s="59"/>
      <c r="E1000" s="59"/>
      <c r="F1000" s="59"/>
      <c r="G1000" s="59"/>
      <c r="H1000" s="61"/>
    </row>
  </sheetData>
  <mergeCells count="1">
    <mergeCell ref="A1:I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18.0"/>
    <col customWidth="1" min="3" max="3" width="20.0"/>
    <col customWidth="1" min="4" max="4" width="45.0"/>
    <col customWidth="1" min="5" max="5" width="12.0"/>
    <col customWidth="1" min="6" max="6" width="10.0"/>
    <col customWidth="1" min="7" max="7" width="12.0"/>
    <col customWidth="1" min="8" max="8" width="23.14"/>
    <col customWidth="1" min="9" max="9" width="45.0"/>
    <col customWidth="1" min="10" max="10" width="55.0"/>
    <col customWidth="1" min="11" max="11" width="18.0"/>
    <col customWidth="1" min="12" max="12" width="15.0"/>
    <col customWidth="1" min="13" max="13" width="29.57"/>
    <col customWidth="1" min="14" max="26" width="8.71"/>
  </cols>
  <sheetData>
    <row r="1" ht="36.75" customHeight="1">
      <c r="A1" s="71" t="s">
        <v>2521</v>
      </c>
      <c r="B1" s="3"/>
      <c r="C1" s="3"/>
      <c r="D1" s="3"/>
      <c r="E1" s="3"/>
      <c r="F1" s="3"/>
      <c r="G1" s="3"/>
      <c r="H1" s="3"/>
      <c r="I1" s="3"/>
      <c r="J1" s="3"/>
      <c r="K1" s="3"/>
      <c r="L1" s="3"/>
      <c r="M1" s="72"/>
    </row>
    <row r="2" ht="30.0" customHeight="1">
      <c r="A2" s="73" t="s">
        <v>2522</v>
      </c>
      <c r="B2" s="73" t="s">
        <v>61</v>
      </c>
      <c r="C2" s="73" t="s">
        <v>2523</v>
      </c>
      <c r="D2" s="73" t="s">
        <v>2524</v>
      </c>
      <c r="E2" s="73" t="s">
        <v>71</v>
      </c>
      <c r="F2" s="73" t="s">
        <v>64</v>
      </c>
      <c r="G2" s="73" t="s">
        <v>23</v>
      </c>
      <c r="H2" s="73" t="s">
        <v>12</v>
      </c>
      <c r="I2" s="73" t="s">
        <v>2525</v>
      </c>
      <c r="J2" s="73" t="s">
        <v>2526</v>
      </c>
      <c r="K2" s="73" t="s">
        <v>2527</v>
      </c>
      <c r="L2" s="73" t="s">
        <v>2528</v>
      </c>
      <c r="M2" s="73" t="s">
        <v>2529</v>
      </c>
    </row>
    <row r="3" ht="93.0" customHeight="1">
      <c r="A3" s="74" t="s">
        <v>97</v>
      </c>
      <c r="B3" s="75" t="s">
        <v>87</v>
      </c>
      <c r="C3" s="75" t="s">
        <v>2530</v>
      </c>
      <c r="D3" s="76" t="s">
        <v>2531</v>
      </c>
      <c r="E3" s="77" t="s">
        <v>85</v>
      </c>
      <c r="F3" s="77" t="s">
        <v>49</v>
      </c>
      <c r="G3" s="78" t="s">
        <v>2532</v>
      </c>
      <c r="H3" s="75" t="s">
        <v>2533</v>
      </c>
      <c r="I3" s="75" t="s">
        <v>2534</v>
      </c>
      <c r="J3" s="75" t="s">
        <v>2535</v>
      </c>
      <c r="K3" s="75" t="s">
        <v>18</v>
      </c>
      <c r="L3" s="79" t="s">
        <v>2065</v>
      </c>
      <c r="M3" s="75" t="s">
        <v>2536</v>
      </c>
    </row>
    <row r="4" ht="93.0" customHeight="1">
      <c r="A4" s="80" t="s">
        <v>156</v>
      </c>
      <c r="B4" s="81" t="s">
        <v>147</v>
      </c>
      <c r="C4" s="81" t="s">
        <v>2537</v>
      </c>
      <c r="D4" s="82" t="s">
        <v>2538</v>
      </c>
      <c r="E4" s="83" t="s">
        <v>155</v>
      </c>
      <c r="F4" s="83" t="s">
        <v>52</v>
      </c>
      <c r="G4" s="78" t="s">
        <v>2532</v>
      </c>
      <c r="H4" s="81" t="s">
        <v>2533</v>
      </c>
      <c r="I4" s="81" t="s">
        <v>2539</v>
      </c>
      <c r="J4" s="81" t="s">
        <v>2540</v>
      </c>
      <c r="K4" s="81" t="s">
        <v>18</v>
      </c>
      <c r="L4" s="84" t="s">
        <v>2065</v>
      </c>
      <c r="M4" s="81" t="s">
        <v>2541</v>
      </c>
    </row>
    <row r="5" ht="93.0" customHeight="1">
      <c r="A5" s="74" t="s">
        <v>227</v>
      </c>
      <c r="B5" s="75" t="s">
        <v>221</v>
      </c>
      <c r="C5" s="75" t="s">
        <v>2542</v>
      </c>
      <c r="D5" s="76" t="s">
        <v>2543</v>
      </c>
      <c r="E5" s="83" t="s">
        <v>155</v>
      </c>
      <c r="F5" s="83" t="s">
        <v>52</v>
      </c>
      <c r="G5" s="78" t="s">
        <v>2532</v>
      </c>
      <c r="H5" s="75" t="s">
        <v>2533</v>
      </c>
      <c r="I5" s="75" t="s">
        <v>2544</v>
      </c>
      <c r="J5" s="75" t="s">
        <v>2545</v>
      </c>
      <c r="K5" s="75" t="s">
        <v>18</v>
      </c>
      <c r="L5" s="79" t="s">
        <v>2065</v>
      </c>
      <c r="M5" s="75" t="s">
        <v>2546</v>
      </c>
    </row>
    <row r="6" ht="93.0" customHeight="1">
      <c r="A6" s="80" t="s">
        <v>233</v>
      </c>
      <c r="B6" s="81" t="s">
        <v>228</v>
      </c>
      <c r="C6" s="81" t="s">
        <v>2542</v>
      </c>
      <c r="D6" s="82" t="s">
        <v>2547</v>
      </c>
      <c r="E6" s="83" t="s">
        <v>155</v>
      </c>
      <c r="F6" s="83" t="s">
        <v>52</v>
      </c>
      <c r="G6" s="78" t="s">
        <v>2532</v>
      </c>
      <c r="H6" s="81" t="s">
        <v>2533</v>
      </c>
      <c r="I6" s="81" t="s">
        <v>2548</v>
      </c>
      <c r="J6" s="81" t="s">
        <v>2549</v>
      </c>
      <c r="K6" s="81" t="s">
        <v>18</v>
      </c>
      <c r="L6" s="84" t="s">
        <v>2065</v>
      </c>
      <c r="M6" s="81" t="s">
        <v>2550</v>
      </c>
    </row>
    <row r="7" ht="93.0" customHeight="1">
      <c r="A7" s="74" t="s">
        <v>245</v>
      </c>
      <c r="B7" s="75" t="s">
        <v>239</v>
      </c>
      <c r="C7" s="75" t="s">
        <v>2542</v>
      </c>
      <c r="D7" s="76" t="s">
        <v>2551</v>
      </c>
      <c r="E7" s="83" t="s">
        <v>155</v>
      </c>
      <c r="F7" s="83" t="s">
        <v>52</v>
      </c>
      <c r="G7" s="78" t="s">
        <v>2532</v>
      </c>
      <c r="H7" s="75" t="s">
        <v>2533</v>
      </c>
      <c r="I7" s="75" t="s">
        <v>2552</v>
      </c>
      <c r="J7" s="75" t="s">
        <v>2553</v>
      </c>
      <c r="K7" s="75" t="s">
        <v>18</v>
      </c>
      <c r="L7" s="79" t="s">
        <v>2065</v>
      </c>
      <c r="M7" s="75" t="s">
        <v>2554</v>
      </c>
    </row>
    <row r="8" ht="93.0" customHeight="1">
      <c r="A8" s="80" t="s">
        <v>252</v>
      </c>
      <c r="B8" s="81" t="s">
        <v>246</v>
      </c>
      <c r="C8" s="81" t="s">
        <v>2542</v>
      </c>
      <c r="D8" s="82" t="s">
        <v>2555</v>
      </c>
      <c r="E8" s="83" t="s">
        <v>155</v>
      </c>
      <c r="F8" s="83" t="s">
        <v>52</v>
      </c>
      <c r="G8" s="78" t="s">
        <v>2532</v>
      </c>
      <c r="H8" s="81" t="s">
        <v>2533</v>
      </c>
      <c r="I8" s="81" t="s">
        <v>2556</v>
      </c>
      <c r="J8" s="81" t="s">
        <v>2557</v>
      </c>
      <c r="K8" s="81" t="s">
        <v>18</v>
      </c>
      <c r="L8" s="84" t="s">
        <v>2065</v>
      </c>
      <c r="M8" s="81" t="s">
        <v>2558</v>
      </c>
    </row>
    <row r="9" ht="93.0" customHeight="1">
      <c r="A9" s="74" t="s">
        <v>291</v>
      </c>
      <c r="B9" s="75" t="s">
        <v>286</v>
      </c>
      <c r="C9" s="75" t="s">
        <v>2559</v>
      </c>
      <c r="D9" s="76" t="s">
        <v>2560</v>
      </c>
      <c r="E9" s="83" t="s">
        <v>155</v>
      </c>
      <c r="F9" s="83" t="s">
        <v>52</v>
      </c>
      <c r="G9" s="78" t="s">
        <v>2532</v>
      </c>
      <c r="H9" s="75" t="s">
        <v>2533</v>
      </c>
      <c r="I9" s="75" t="s">
        <v>2561</v>
      </c>
      <c r="J9" s="75" t="s">
        <v>2562</v>
      </c>
      <c r="K9" s="75" t="s">
        <v>18</v>
      </c>
      <c r="L9" s="79" t="s">
        <v>2065</v>
      </c>
      <c r="M9" s="75" t="s">
        <v>2563</v>
      </c>
    </row>
    <row r="10" ht="93.0" customHeight="1">
      <c r="A10" s="80" t="s">
        <v>298</v>
      </c>
      <c r="B10" s="81" t="s">
        <v>292</v>
      </c>
      <c r="C10" s="81" t="s">
        <v>2564</v>
      </c>
      <c r="D10" s="82" t="s">
        <v>2565</v>
      </c>
      <c r="E10" s="83" t="s">
        <v>155</v>
      </c>
      <c r="F10" s="83" t="s">
        <v>52</v>
      </c>
      <c r="G10" s="78" t="s">
        <v>2532</v>
      </c>
      <c r="H10" s="81" t="s">
        <v>2533</v>
      </c>
      <c r="I10" s="81" t="s">
        <v>2566</v>
      </c>
      <c r="J10" s="81" t="s">
        <v>2567</v>
      </c>
      <c r="K10" s="81" t="s">
        <v>18</v>
      </c>
      <c r="L10" s="84" t="s">
        <v>2065</v>
      </c>
      <c r="M10" s="81" t="s">
        <v>2568</v>
      </c>
    </row>
    <row r="11" ht="93.0" customHeight="1">
      <c r="A11" s="74" t="s">
        <v>305</v>
      </c>
      <c r="B11" s="75" t="s">
        <v>299</v>
      </c>
      <c r="C11" s="75" t="s">
        <v>2564</v>
      </c>
      <c r="D11" s="76" t="s">
        <v>2569</v>
      </c>
      <c r="E11" s="83" t="s">
        <v>155</v>
      </c>
      <c r="F11" s="83" t="s">
        <v>52</v>
      </c>
      <c r="G11" s="78" t="s">
        <v>2532</v>
      </c>
      <c r="H11" s="75" t="s">
        <v>2533</v>
      </c>
      <c r="I11" s="75" t="s">
        <v>2570</v>
      </c>
      <c r="J11" s="75" t="s">
        <v>2571</v>
      </c>
      <c r="K11" s="75" t="s">
        <v>18</v>
      </c>
      <c r="L11" s="79" t="s">
        <v>2065</v>
      </c>
      <c r="M11" s="75" t="s">
        <v>2572</v>
      </c>
    </row>
    <row r="12" ht="93.0" customHeight="1">
      <c r="A12" s="80" t="s">
        <v>312</v>
      </c>
      <c r="B12" s="81" t="s">
        <v>306</v>
      </c>
      <c r="C12" s="81" t="s">
        <v>2564</v>
      </c>
      <c r="D12" s="82" t="s">
        <v>2573</v>
      </c>
      <c r="E12" s="83" t="s">
        <v>155</v>
      </c>
      <c r="F12" s="83" t="s">
        <v>52</v>
      </c>
      <c r="G12" s="78" t="s">
        <v>2532</v>
      </c>
      <c r="H12" s="81" t="s">
        <v>2533</v>
      </c>
      <c r="I12" s="81" t="s">
        <v>2574</v>
      </c>
      <c r="J12" s="81" t="s">
        <v>2575</v>
      </c>
      <c r="K12" s="81" t="s">
        <v>18</v>
      </c>
      <c r="L12" s="84" t="s">
        <v>2065</v>
      </c>
      <c r="M12" s="81" t="s">
        <v>2576</v>
      </c>
    </row>
    <row r="13" ht="93.0" customHeight="1">
      <c r="A13" s="74" t="s">
        <v>318</v>
      </c>
      <c r="B13" s="75" t="s">
        <v>313</v>
      </c>
      <c r="C13" s="75" t="s">
        <v>2577</v>
      </c>
      <c r="D13" s="76" t="s">
        <v>2578</v>
      </c>
      <c r="E13" s="83" t="s">
        <v>155</v>
      </c>
      <c r="F13" s="83" t="s">
        <v>52</v>
      </c>
      <c r="G13" s="78" t="s">
        <v>2532</v>
      </c>
      <c r="H13" s="75" t="s">
        <v>2533</v>
      </c>
      <c r="I13" s="75" t="s">
        <v>2579</v>
      </c>
      <c r="J13" s="75" t="s">
        <v>2580</v>
      </c>
      <c r="K13" s="75" t="s">
        <v>18</v>
      </c>
      <c r="L13" s="79" t="s">
        <v>2065</v>
      </c>
      <c r="M13" s="75" t="s">
        <v>2581</v>
      </c>
    </row>
    <row r="14" ht="93.0" customHeight="1">
      <c r="A14" s="80" t="s">
        <v>326</v>
      </c>
      <c r="B14" s="81" t="s">
        <v>319</v>
      </c>
      <c r="C14" s="81" t="s">
        <v>2582</v>
      </c>
      <c r="D14" s="82" t="s">
        <v>2583</v>
      </c>
      <c r="E14" s="83" t="s">
        <v>155</v>
      </c>
      <c r="F14" s="83" t="s">
        <v>52</v>
      </c>
      <c r="G14" s="78" t="s">
        <v>2532</v>
      </c>
      <c r="H14" s="81" t="s">
        <v>2533</v>
      </c>
      <c r="I14" s="81" t="s">
        <v>2584</v>
      </c>
      <c r="J14" s="81" t="s">
        <v>2585</v>
      </c>
      <c r="K14" s="81" t="s">
        <v>18</v>
      </c>
      <c r="L14" s="84" t="s">
        <v>2065</v>
      </c>
      <c r="M14" s="81" t="s">
        <v>2586</v>
      </c>
    </row>
    <row r="15" ht="93.0" customHeight="1">
      <c r="A15" s="74" t="s">
        <v>332</v>
      </c>
      <c r="B15" s="75" t="s">
        <v>327</v>
      </c>
      <c r="C15" s="75" t="s">
        <v>2582</v>
      </c>
      <c r="D15" s="76" t="s">
        <v>2587</v>
      </c>
      <c r="E15" s="83" t="s">
        <v>155</v>
      </c>
      <c r="F15" s="83" t="s">
        <v>52</v>
      </c>
      <c r="G15" s="78" t="s">
        <v>2532</v>
      </c>
      <c r="H15" s="75" t="s">
        <v>2533</v>
      </c>
      <c r="I15" s="75" t="s">
        <v>2588</v>
      </c>
      <c r="J15" s="75" t="s">
        <v>2589</v>
      </c>
      <c r="K15" s="75" t="s">
        <v>18</v>
      </c>
      <c r="L15" s="79" t="s">
        <v>2065</v>
      </c>
      <c r="M15" s="75" t="s">
        <v>2590</v>
      </c>
    </row>
    <row r="16" ht="93.0" customHeight="1">
      <c r="A16" s="80" t="s">
        <v>345</v>
      </c>
      <c r="B16" s="81" t="s">
        <v>339</v>
      </c>
      <c r="C16" s="81" t="s">
        <v>2564</v>
      </c>
      <c r="D16" s="82" t="s">
        <v>2591</v>
      </c>
      <c r="E16" s="85" t="s">
        <v>538</v>
      </c>
      <c r="F16" s="83" t="s">
        <v>52</v>
      </c>
      <c r="G16" s="78" t="s">
        <v>2532</v>
      </c>
      <c r="H16" s="81" t="s">
        <v>2533</v>
      </c>
      <c r="I16" s="81" t="s">
        <v>2592</v>
      </c>
      <c r="J16" s="81" t="s">
        <v>2593</v>
      </c>
      <c r="K16" s="81" t="s">
        <v>18</v>
      </c>
      <c r="L16" s="84" t="s">
        <v>2065</v>
      </c>
      <c r="M16" s="81" t="s">
        <v>2594</v>
      </c>
    </row>
    <row r="17" ht="93.0" customHeight="1">
      <c r="A17" s="74" t="s">
        <v>352</v>
      </c>
      <c r="B17" s="75" t="s">
        <v>346</v>
      </c>
      <c r="C17" s="75" t="s">
        <v>2577</v>
      </c>
      <c r="D17" s="76" t="s">
        <v>2595</v>
      </c>
      <c r="E17" s="85" t="s">
        <v>538</v>
      </c>
      <c r="F17" s="83" t="s">
        <v>52</v>
      </c>
      <c r="G17" s="78" t="s">
        <v>2532</v>
      </c>
      <c r="H17" s="75" t="s">
        <v>2533</v>
      </c>
      <c r="I17" s="75" t="s">
        <v>2596</v>
      </c>
      <c r="J17" s="75" t="s">
        <v>2597</v>
      </c>
      <c r="K17" s="75" t="s">
        <v>18</v>
      </c>
      <c r="L17" s="79" t="s">
        <v>2065</v>
      </c>
      <c r="M17" s="75" t="s">
        <v>2598</v>
      </c>
    </row>
    <row r="18" ht="93.0" customHeight="1">
      <c r="A18" s="80" t="s">
        <v>424</v>
      </c>
      <c r="B18" s="81" t="s">
        <v>416</v>
      </c>
      <c r="C18" s="81" t="s">
        <v>2488</v>
      </c>
      <c r="D18" s="82" t="s">
        <v>2599</v>
      </c>
      <c r="E18" s="83" t="s">
        <v>155</v>
      </c>
      <c r="F18" s="83" t="s">
        <v>52</v>
      </c>
      <c r="G18" s="78" t="s">
        <v>2532</v>
      </c>
      <c r="H18" s="81" t="s">
        <v>2533</v>
      </c>
      <c r="I18" s="81" t="s">
        <v>2600</v>
      </c>
      <c r="J18" s="81" t="s">
        <v>2601</v>
      </c>
      <c r="K18" s="81" t="s">
        <v>18</v>
      </c>
      <c r="L18" s="84">
        <v>46124.0</v>
      </c>
      <c r="M18" s="81" t="s">
        <v>2602</v>
      </c>
    </row>
    <row r="19" ht="93.0" customHeight="1">
      <c r="A19" s="74" t="s">
        <v>456</v>
      </c>
      <c r="B19" s="75" t="s">
        <v>448</v>
      </c>
      <c r="C19" s="75" t="s">
        <v>2495</v>
      </c>
      <c r="D19" s="76" t="s">
        <v>2603</v>
      </c>
      <c r="E19" s="77" t="s">
        <v>85</v>
      </c>
      <c r="F19" s="83" t="s">
        <v>52</v>
      </c>
      <c r="G19" s="78" t="s">
        <v>2532</v>
      </c>
      <c r="H19" s="75" t="s">
        <v>2533</v>
      </c>
      <c r="I19" s="75" t="s">
        <v>2604</v>
      </c>
      <c r="J19" s="75" t="s">
        <v>2605</v>
      </c>
      <c r="K19" s="75" t="s">
        <v>18</v>
      </c>
      <c r="L19" s="79">
        <v>46124.0</v>
      </c>
      <c r="M19" s="75" t="s">
        <v>2606</v>
      </c>
    </row>
    <row r="20" ht="93.0" customHeight="1">
      <c r="A20" s="80" t="s">
        <v>480</v>
      </c>
      <c r="B20" s="81" t="s">
        <v>472</v>
      </c>
      <c r="C20" s="81" t="s">
        <v>2500</v>
      </c>
      <c r="D20" s="82" t="s">
        <v>2607</v>
      </c>
      <c r="E20" s="77" t="s">
        <v>85</v>
      </c>
      <c r="F20" s="83" t="s">
        <v>52</v>
      </c>
      <c r="G20" s="78" t="s">
        <v>2532</v>
      </c>
      <c r="H20" s="81" t="s">
        <v>2533</v>
      </c>
      <c r="I20" s="81" t="s">
        <v>2608</v>
      </c>
      <c r="J20" s="81" t="s">
        <v>2609</v>
      </c>
      <c r="K20" s="81" t="s">
        <v>18</v>
      </c>
      <c r="L20" s="84">
        <v>46124.0</v>
      </c>
      <c r="M20" s="81" t="s">
        <v>2610</v>
      </c>
    </row>
    <row r="21" ht="93.0" customHeight="1">
      <c r="A21" s="74" t="s">
        <v>503</v>
      </c>
      <c r="B21" s="75" t="s">
        <v>497</v>
      </c>
      <c r="C21" s="75" t="s">
        <v>2611</v>
      </c>
      <c r="D21" s="76" t="s">
        <v>2612</v>
      </c>
      <c r="E21" s="83" t="s">
        <v>155</v>
      </c>
      <c r="F21" s="85" t="s">
        <v>55</v>
      </c>
      <c r="G21" s="78" t="s">
        <v>2532</v>
      </c>
      <c r="H21" s="75" t="s">
        <v>2533</v>
      </c>
      <c r="I21" s="75" t="s">
        <v>2613</v>
      </c>
      <c r="J21" s="75" t="s">
        <v>2614</v>
      </c>
      <c r="K21" s="75" t="s">
        <v>18</v>
      </c>
      <c r="L21" s="79" t="s">
        <v>2065</v>
      </c>
      <c r="M21" s="75" t="s">
        <v>2615</v>
      </c>
    </row>
    <row r="22" ht="93.0" customHeight="1">
      <c r="A22" s="80" t="s">
        <v>530</v>
      </c>
      <c r="B22" s="81" t="s">
        <v>525</v>
      </c>
      <c r="C22" s="81" t="s">
        <v>2616</v>
      </c>
      <c r="D22" s="82" t="s">
        <v>2617</v>
      </c>
      <c r="E22" s="83" t="s">
        <v>155</v>
      </c>
      <c r="F22" s="85" t="s">
        <v>55</v>
      </c>
      <c r="G22" s="78" t="s">
        <v>2532</v>
      </c>
      <c r="H22" s="81" t="s">
        <v>2533</v>
      </c>
      <c r="I22" s="81" t="s">
        <v>2618</v>
      </c>
      <c r="J22" s="81" t="s">
        <v>2619</v>
      </c>
      <c r="K22" s="81" t="s">
        <v>18</v>
      </c>
      <c r="L22" s="84" t="s">
        <v>2065</v>
      </c>
      <c r="M22" s="81" t="s">
        <v>2620</v>
      </c>
    </row>
    <row r="23" ht="93.0" customHeight="1">
      <c r="A23" s="74" t="s">
        <v>717</v>
      </c>
      <c r="B23" s="75" t="s">
        <v>712</v>
      </c>
      <c r="C23" s="75" t="s">
        <v>2495</v>
      </c>
      <c r="D23" s="76" t="s">
        <v>2621</v>
      </c>
      <c r="E23" s="85" t="s">
        <v>538</v>
      </c>
      <c r="F23" s="85" t="s">
        <v>55</v>
      </c>
      <c r="G23" s="78" t="s">
        <v>2532</v>
      </c>
      <c r="H23" s="75" t="s">
        <v>2533</v>
      </c>
      <c r="I23" s="75" t="s">
        <v>2622</v>
      </c>
      <c r="J23" s="75" t="s">
        <v>2623</v>
      </c>
      <c r="K23" s="75" t="s">
        <v>18</v>
      </c>
      <c r="L23" s="79">
        <v>46124.0</v>
      </c>
      <c r="M23" s="75" t="s">
        <v>2624</v>
      </c>
    </row>
    <row r="24" ht="93.0" customHeight="1">
      <c r="A24" s="80" t="s">
        <v>789</v>
      </c>
      <c r="B24" s="81" t="s">
        <v>782</v>
      </c>
      <c r="C24" s="81" t="s">
        <v>2625</v>
      </c>
      <c r="D24" s="82" t="s">
        <v>2626</v>
      </c>
      <c r="E24" s="86" t="s">
        <v>781</v>
      </c>
      <c r="F24" s="86" t="s">
        <v>58</v>
      </c>
      <c r="G24" s="78" t="s">
        <v>2532</v>
      </c>
      <c r="H24" s="81" t="s">
        <v>2533</v>
      </c>
      <c r="I24" s="81" t="s">
        <v>2627</v>
      </c>
      <c r="J24" s="81" t="s">
        <v>2628</v>
      </c>
      <c r="K24" s="81" t="s">
        <v>18</v>
      </c>
      <c r="L24" s="84" t="s">
        <v>2065</v>
      </c>
      <c r="M24" s="81" t="s">
        <v>2629</v>
      </c>
    </row>
    <row r="25" ht="93.0" customHeight="1">
      <c r="A25" s="74" t="s">
        <v>840</v>
      </c>
      <c r="B25" s="75" t="s">
        <v>834</v>
      </c>
      <c r="C25" s="75" t="s">
        <v>2513</v>
      </c>
      <c r="D25" s="76" t="s">
        <v>2630</v>
      </c>
      <c r="E25" s="86" t="s">
        <v>781</v>
      </c>
      <c r="F25" s="86" t="s">
        <v>58</v>
      </c>
      <c r="G25" s="78" t="s">
        <v>2532</v>
      </c>
      <c r="H25" s="75" t="s">
        <v>2533</v>
      </c>
      <c r="I25" s="75" t="s">
        <v>2631</v>
      </c>
      <c r="J25" s="75" t="s">
        <v>2632</v>
      </c>
      <c r="K25" s="75" t="s">
        <v>18</v>
      </c>
      <c r="L25" s="79">
        <v>46124.0</v>
      </c>
      <c r="M25" s="75" t="s">
        <v>2633</v>
      </c>
    </row>
    <row r="26" ht="93.0" customHeight="1">
      <c r="A26" s="80" t="s">
        <v>957</v>
      </c>
      <c r="B26" s="81" t="s">
        <v>952</v>
      </c>
      <c r="C26" s="81" t="s">
        <v>86</v>
      </c>
      <c r="D26" s="82" t="s">
        <v>953</v>
      </c>
      <c r="E26" s="85" t="s">
        <v>538</v>
      </c>
      <c r="F26" s="85" t="s">
        <v>55</v>
      </c>
      <c r="G26" s="78" t="s">
        <v>2532</v>
      </c>
      <c r="H26" s="81" t="s">
        <v>2533</v>
      </c>
      <c r="I26" s="81" t="s">
        <v>954</v>
      </c>
      <c r="J26" s="81" t="s">
        <v>2634</v>
      </c>
      <c r="K26" s="81" t="s">
        <v>883</v>
      </c>
      <c r="L26" s="87" t="s">
        <v>2065</v>
      </c>
      <c r="M26" s="81" t="s">
        <v>2635</v>
      </c>
    </row>
    <row r="27" ht="93.0" customHeight="1">
      <c r="A27" s="74" t="s">
        <v>965</v>
      </c>
      <c r="B27" s="75" t="s">
        <v>958</v>
      </c>
      <c r="C27" s="75" t="s">
        <v>86</v>
      </c>
      <c r="D27" s="76" t="s">
        <v>959</v>
      </c>
      <c r="E27" s="85" t="s">
        <v>538</v>
      </c>
      <c r="F27" s="85" t="s">
        <v>55</v>
      </c>
      <c r="G27" s="78" t="s">
        <v>2532</v>
      </c>
      <c r="H27" s="75" t="s">
        <v>2533</v>
      </c>
      <c r="I27" s="75" t="s">
        <v>961</v>
      </c>
      <c r="J27" s="75" t="s">
        <v>2636</v>
      </c>
      <c r="K27" s="75" t="s">
        <v>883</v>
      </c>
      <c r="L27" s="88" t="s">
        <v>2065</v>
      </c>
      <c r="M27" s="75" t="s">
        <v>2637</v>
      </c>
    </row>
    <row r="28" ht="93.0" customHeight="1">
      <c r="A28" s="80" t="s">
        <v>983</v>
      </c>
      <c r="B28" s="81" t="s">
        <v>978</v>
      </c>
      <c r="C28" s="81" t="s">
        <v>86</v>
      </c>
      <c r="D28" s="82" t="s">
        <v>979</v>
      </c>
      <c r="E28" s="85" t="s">
        <v>538</v>
      </c>
      <c r="F28" s="85" t="s">
        <v>55</v>
      </c>
      <c r="G28" s="78" t="s">
        <v>2532</v>
      </c>
      <c r="H28" s="81" t="s">
        <v>2533</v>
      </c>
      <c r="I28" s="81" t="s">
        <v>980</v>
      </c>
      <c r="J28" s="81" t="s">
        <v>2638</v>
      </c>
      <c r="K28" s="81" t="s">
        <v>883</v>
      </c>
      <c r="L28" s="87" t="s">
        <v>2065</v>
      </c>
      <c r="M28" s="81" t="s">
        <v>2639</v>
      </c>
    </row>
    <row r="29" ht="93.0" customHeight="1">
      <c r="A29" s="74" t="s">
        <v>1020</v>
      </c>
      <c r="B29" s="75" t="s">
        <v>1013</v>
      </c>
      <c r="C29" s="75" t="s">
        <v>86</v>
      </c>
      <c r="D29" s="76" t="s">
        <v>1014</v>
      </c>
      <c r="E29" s="85" t="s">
        <v>538</v>
      </c>
      <c r="F29" s="85" t="s">
        <v>55</v>
      </c>
      <c r="G29" s="78" t="s">
        <v>2532</v>
      </c>
      <c r="H29" s="75" t="s">
        <v>2533</v>
      </c>
      <c r="I29" s="75" t="s">
        <v>1016</v>
      </c>
      <c r="J29" s="75" t="s">
        <v>2640</v>
      </c>
      <c r="K29" s="75" t="s">
        <v>883</v>
      </c>
      <c r="L29" s="88" t="s">
        <v>2065</v>
      </c>
      <c r="M29" s="75" t="s">
        <v>2641</v>
      </c>
    </row>
    <row r="30" ht="93.0" customHeight="1">
      <c r="A30" s="80" t="s">
        <v>1029</v>
      </c>
      <c r="B30" s="81" t="s">
        <v>1021</v>
      </c>
      <c r="C30" s="81" t="s">
        <v>86</v>
      </c>
      <c r="D30" s="82" t="s">
        <v>1022</v>
      </c>
      <c r="E30" s="85" t="s">
        <v>538</v>
      </c>
      <c r="F30" s="85" t="s">
        <v>55</v>
      </c>
      <c r="G30" s="78" t="s">
        <v>2532</v>
      </c>
      <c r="H30" s="81" t="s">
        <v>2533</v>
      </c>
      <c r="I30" s="81" t="s">
        <v>1025</v>
      </c>
      <c r="J30" s="81" t="s">
        <v>2642</v>
      </c>
      <c r="K30" s="81" t="s">
        <v>883</v>
      </c>
      <c r="L30" s="87" t="s">
        <v>2065</v>
      </c>
      <c r="M30" s="81" t="s">
        <v>2643</v>
      </c>
    </row>
    <row r="31" ht="93.0" customHeight="1">
      <c r="A31" s="74" t="s">
        <v>1120</v>
      </c>
      <c r="B31" s="75" t="s">
        <v>1113</v>
      </c>
      <c r="C31" s="75" t="s">
        <v>86</v>
      </c>
      <c r="D31" s="76" t="s">
        <v>1114</v>
      </c>
      <c r="E31" s="83" t="s">
        <v>155</v>
      </c>
      <c r="F31" s="83" t="s">
        <v>52</v>
      </c>
      <c r="G31" s="78" t="s">
        <v>2532</v>
      </c>
      <c r="H31" s="75" t="s">
        <v>2533</v>
      </c>
      <c r="I31" s="75" t="s">
        <v>1116</v>
      </c>
      <c r="J31" s="75" t="s">
        <v>2644</v>
      </c>
      <c r="K31" s="75" t="s">
        <v>883</v>
      </c>
      <c r="L31" s="88" t="s">
        <v>2065</v>
      </c>
      <c r="M31" s="75" t="s">
        <v>2645</v>
      </c>
    </row>
    <row r="32" ht="93.0" customHeight="1">
      <c r="A32" s="80" t="s">
        <v>1132</v>
      </c>
      <c r="B32" s="81" t="s">
        <v>1126</v>
      </c>
      <c r="C32" s="81" t="s">
        <v>86</v>
      </c>
      <c r="D32" s="82" t="s">
        <v>1127</v>
      </c>
      <c r="E32" s="83" t="s">
        <v>155</v>
      </c>
      <c r="F32" s="83" t="s">
        <v>52</v>
      </c>
      <c r="G32" s="78" t="s">
        <v>2532</v>
      </c>
      <c r="H32" s="81" t="s">
        <v>2533</v>
      </c>
      <c r="I32" s="81" t="s">
        <v>1128</v>
      </c>
      <c r="J32" s="81" t="s">
        <v>2646</v>
      </c>
      <c r="K32" s="81" t="s">
        <v>883</v>
      </c>
      <c r="L32" s="87" t="s">
        <v>2065</v>
      </c>
      <c r="M32" s="81" t="s">
        <v>2647</v>
      </c>
    </row>
    <row r="33" ht="93.0" customHeight="1">
      <c r="A33" s="74" t="s">
        <v>1182</v>
      </c>
      <c r="B33" s="75" t="s">
        <v>1176</v>
      </c>
      <c r="C33" s="75" t="s">
        <v>86</v>
      </c>
      <c r="D33" s="76" t="s">
        <v>1177</v>
      </c>
      <c r="E33" s="83" t="s">
        <v>155</v>
      </c>
      <c r="F33" s="83" t="s">
        <v>52</v>
      </c>
      <c r="G33" s="78" t="s">
        <v>2532</v>
      </c>
      <c r="H33" s="75" t="s">
        <v>2533</v>
      </c>
      <c r="I33" s="75" t="s">
        <v>1179</v>
      </c>
      <c r="J33" s="75" t="s">
        <v>2648</v>
      </c>
      <c r="K33" s="75" t="s">
        <v>883</v>
      </c>
      <c r="L33" s="88" t="s">
        <v>2065</v>
      </c>
      <c r="M33" s="75" t="s">
        <v>2649</v>
      </c>
    </row>
    <row r="34" ht="93.0" customHeight="1">
      <c r="A34" s="80" t="s">
        <v>1188</v>
      </c>
      <c r="B34" s="81" t="s">
        <v>1183</v>
      </c>
      <c r="C34" s="81" t="s">
        <v>86</v>
      </c>
      <c r="D34" s="82" t="s">
        <v>1184</v>
      </c>
      <c r="E34" s="83" t="s">
        <v>155</v>
      </c>
      <c r="F34" s="83" t="s">
        <v>52</v>
      </c>
      <c r="G34" s="78" t="s">
        <v>2532</v>
      </c>
      <c r="H34" s="81" t="s">
        <v>2533</v>
      </c>
      <c r="I34" s="81" t="s">
        <v>1185</v>
      </c>
      <c r="J34" s="81" t="s">
        <v>2650</v>
      </c>
      <c r="K34" s="81" t="s">
        <v>883</v>
      </c>
      <c r="L34" s="87" t="s">
        <v>2065</v>
      </c>
      <c r="M34" s="81" t="s">
        <v>2651</v>
      </c>
    </row>
    <row r="35" ht="93.0" customHeight="1">
      <c r="A35" s="74" t="s">
        <v>1253</v>
      </c>
      <c r="B35" s="75" t="s">
        <v>1247</v>
      </c>
      <c r="C35" s="75" t="s">
        <v>86</v>
      </c>
      <c r="D35" s="76" t="s">
        <v>1248</v>
      </c>
      <c r="E35" s="86" t="s">
        <v>781</v>
      </c>
      <c r="F35" s="86" t="s">
        <v>58</v>
      </c>
      <c r="G35" s="78" t="s">
        <v>2532</v>
      </c>
      <c r="H35" s="75" t="s">
        <v>2533</v>
      </c>
      <c r="I35" s="75" t="s">
        <v>1250</v>
      </c>
      <c r="J35" s="75" t="s">
        <v>2652</v>
      </c>
      <c r="K35" s="75" t="s">
        <v>883</v>
      </c>
      <c r="L35" s="88" t="s">
        <v>2065</v>
      </c>
      <c r="M35" s="75" t="s">
        <v>2653</v>
      </c>
    </row>
    <row r="36" ht="93.0" customHeight="1">
      <c r="A36" s="80" t="s">
        <v>1721</v>
      </c>
      <c r="B36" s="81" t="s">
        <v>1713</v>
      </c>
      <c r="C36" s="81" t="s">
        <v>86</v>
      </c>
      <c r="D36" s="82" t="s">
        <v>1714</v>
      </c>
      <c r="E36" s="83" t="s">
        <v>155</v>
      </c>
      <c r="F36" s="83" t="s">
        <v>52</v>
      </c>
      <c r="G36" s="78" t="s">
        <v>2532</v>
      </c>
      <c r="H36" s="81" t="s">
        <v>2533</v>
      </c>
      <c r="I36" s="81" t="s">
        <v>1717</v>
      </c>
      <c r="J36" s="81" t="s">
        <v>2654</v>
      </c>
      <c r="K36" s="81" t="s">
        <v>1500</v>
      </c>
      <c r="L36" s="87" t="s">
        <v>2065</v>
      </c>
      <c r="M36" s="81" t="s">
        <v>2655</v>
      </c>
    </row>
    <row r="37" ht="93.0" customHeight="1">
      <c r="A37" s="74" t="s">
        <v>1737</v>
      </c>
      <c r="B37" s="75" t="s">
        <v>1729</v>
      </c>
      <c r="C37" s="75" t="s">
        <v>86</v>
      </c>
      <c r="D37" s="76" t="s">
        <v>1730</v>
      </c>
      <c r="E37" s="85" t="s">
        <v>538</v>
      </c>
      <c r="F37" s="86" t="s">
        <v>58</v>
      </c>
      <c r="G37" s="78" t="s">
        <v>2532</v>
      </c>
      <c r="H37" s="75" t="s">
        <v>2533</v>
      </c>
      <c r="I37" s="75" t="s">
        <v>1733</v>
      </c>
      <c r="J37" s="75" t="s">
        <v>2656</v>
      </c>
      <c r="K37" s="75" t="s">
        <v>1500</v>
      </c>
      <c r="L37" s="88" t="s">
        <v>2065</v>
      </c>
      <c r="M37" s="75" t="s">
        <v>2657</v>
      </c>
    </row>
    <row r="38" ht="93.0" customHeight="1">
      <c r="A38" s="80" t="s">
        <v>1752</v>
      </c>
      <c r="B38" s="81" t="s">
        <v>1746</v>
      </c>
      <c r="C38" s="81" t="s">
        <v>86</v>
      </c>
      <c r="D38" s="82" t="s">
        <v>1747</v>
      </c>
      <c r="E38" s="85" t="s">
        <v>538</v>
      </c>
      <c r="F38" s="85" t="s">
        <v>55</v>
      </c>
      <c r="G38" s="78" t="s">
        <v>2532</v>
      </c>
      <c r="H38" s="81" t="s">
        <v>2533</v>
      </c>
      <c r="I38" s="81" t="s">
        <v>1749</v>
      </c>
      <c r="J38" s="81" t="s">
        <v>2658</v>
      </c>
      <c r="K38" s="81" t="s">
        <v>1500</v>
      </c>
      <c r="L38" s="87" t="s">
        <v>2065</v>
      </c>
      <c r="M38" s="81" t="s">
        <v>2659</v>
      </c>
    </row>
    <row r="39" ht="93.0" customHeight="1">
      <c r="A39" s="74" t="s">
        <v>1759</v>
      </c>
      <c r="B39" s="75" t="s">
        <v>1753</v>
      </c>
      <c r="C39" s="75" t="s">
        <v>86</v>
      </c>
      <c r="D39" s="76" t="s">
        <v>1754</v>
      </c>
      <c r="E39" s="83" t="s">
        <v>155</v>
      </c>
      <c r="F39" s="85" t="s">
        <v>55</v>
      </c>
      <c r="G39" s="78" t="s">
        <v>2532</v>
      </c>
      <c r="H39" s="75" t="s">
        <v>2533</v>
      </c>
      <c r="I39" s="75" t="s">
        <v>1756</v>
      </c>
      <c r="J39" s="75" t="s">
        <v>2660</v>
      </c>
      <c r="K39" s="75" t="s">
        <v>1500</v>
      </c>
      <c r="L39" s="88" t="s">
        <v>2065</v>
      </c>
      <c r="M39" s="75" t="s">
        <v>2661</v>
      </c>
    </row>
    <row r="40" ht="93.0" customHeight="1">
      <c r="A40" s="80" t="s">
        <v>1767</v>
      </c>
      <c r="B40" s="81" t="s">
        <v>1760</v>
      </c>
      <c r="C40" s="81" t="s">
        <v>86</v>
      </c>
      <c r="D40" s="82" t="s">
        <v>1761</v>
      </c>
      <c r="E40" s="83" t="s">
        <v>155</v>
      </c>
      <c r="F40" s="83" t="s">
        <v>52</v>
      </c>
      <c r="G40" s="78" t="s">
        <v>2532</v>
      </c>
      <c r="H40" s="81" t="s">
        <v>2533</v>
      </c>
      <c r="I40" s="81" t="s">
        <v>1763</v>
      </c>
      <c r="J40" s="81" t="s">
        <v>2662</v>
      </c>
      <c r="K40" s="81" t="s">
        <v>1500</v>
      </c>
      <c r="L40" s="87" t="s">
        <v>2065</v>
      </c>
      <c r="M40" s="81" t="s">
        <v>2663</v>
      </c>
    </row>
    <row r="41" ht="93.0" customHeight="1">
      <c r="A41" s="74" t="s">
        <v>1775</v>
      </c>
      <c r="B41" s="75" t="s">
        <v>1768</v>
      </c>
      <c r="C41" s="75" t="s">
        <v>86</v>
      </c>
      <c r="D41" s="76" t="s">
        <v>1769</v>
      </c>
      <c r="E41" s="83" t="s">
        <v>155</v>
      </c>
      <c r="F41" s="83" t="s">
        <v>52</v>
      </c>
      <c r="G41" s="78" t="s">
        <v>2532</v>
      </c>
      <c r="H41" s="75" t="s">
        <v>2533</v>
      </c>
      <c r="I41" s="75" t="s">
        <v>1771</v>
      </c>
      <c r="J41" s="75" t="s">
        <v>2664</v>
      </c>
      <c r="K41" s="75" t="s">
        <v>1500</v>
      </c>
      <c r="L41" s="88" t="s">
        <v>2065</v>
      </c>
      <c r="M41" s="75" t="s">
        <v>2665</v>
      </c>
    </row>
    <row r="42" ht="93.0" customHeight="1">
      <c r="A42" s="80" t="s">
        <v>1784</v>
      </c>
      <c r="B42" s="81" t="s">
        <v>1776</v>
      </c>
      <c r="C42" s="81" t="s">
        <v>86</v>
      </c>
      <c r="D42" s="82" t="s">
        <v>1777</v>
      </c>
      <c r="E42" s="83" t="s">
        <v>155</v>
      </c>
      <c r="F42" s="83" t="s">
        <v>52</v>
      </c>
      <c r="G42" s="78" t="s">
        <v>2532</v>
      </c>
      <c r="H42" s="81" t="s">
        <v>2533</v>
      </c>
      <c r="I42" s="81" t="s">
        <v>1780</v>
      </c>
      <c r="J42" s="81" t="s">
        <v>2666</v>
      </c>
      <c r="K42" s="81" t="s">
        <v>1500</v>
      </c>
      <c r="L42" s="87" t="s">
        <v>2065</v>
      </c>
      <c r="M42" s="81" t="s">
        <v>2667</v>
      </c>
    </row>
    <row r="43" ht="93.0" customHeight="1">
      <c r="A43" s="74" t="s">
        <v>1789</v>
      </c>
      <c r="B43" s="75" t="s">
        <v>1785</v>
      </c>
      <c r="C43" s="75" t="s">
        <v>86</v>
      </c>
      <c r="D43" s="76" t="s">
        <v>1786</v>
      </c>
      <c r="E43" s="83" t="s">
        <v>155</v>
      </c>
      <c r="F43" s="83" t="s">
        <v>52</v>
      </c>
      <c r="G43" s="78" t="s">
        <v>2532</v>
      </c>
      <c r="H43" s="75" t="s">
        <v>2533</v>
      </c>
      <c r="I43" s="75" t="s">
        <v>1771</v>
      </c>
      <c r="J43" s="75" t="s">
        <v>2668</v>
      </c>
      <c r="K43" s="75" t="s">
        <v>1500</v>
      </c>
      <c r="L43" s="88" t="s">
        <v>2065</v>
      </c>
      <c r="M43" s="75" t="s">
        <v>2669</v>
      </c>
    </row>
    <row r="44" ht="93.0" customHeight="1">
      <c r="A44" s="80" t="s">
        <v>1841</v>
      </c>
      <c r="B44" s="81" t="s">
        <v>1833</v>
      </c>
      <c r="C44" s="81" t="s">
        <v>86</v>
      </c>
      <c r="D44" s="82" t="s">
        <v>1834</v>
      </c>
      <c r="E44" s="83" t="s">
        <v>155</v>
      </c>
      <c r="F44" s="83" t="s">
        <v>52</v>
      </c>
      <c r="G44" s="78" t="s">
        <v>2532</v>
      </c>
      <c r="H44" s="81" t="s">
        <v>2533</v>
      </c>
      <c r="I44" s="81" t="s">
        <v>1837</v>
      </c>
      <c r="J44" s="81" t="s">
        <v>2670</v>
      </c>
      <c r="K44" s="81" t="s">
        <v>1500</v>
      </c>
      <c r="L44" s="87" t="s">
        <v>2065</v>
      </c>
      <c r="M44" s="81" t="s">
        <v>2671</v>
      </c>
    </row>
    <row r="45" ht="93.0" customHeight="1">
      <c r="A45" s="74" t="s">
        <v>1849</v>
      </c>
      <c r="B45" s="75" t="s">
        <v>1842</v>
      </c>
      <c r="C45" s="75" t="s">
        <v>86</v>
      </c>
      <c r="D45" s="76" t="s">
        <v>1843</v>
      </c>
      <c r="E45" s="86" t="s">
        <v>1704</v>
      </c>
      <c r="F45" s="85" t="s">
        <v>55</v>
      </c>
      <c r="G45" s="78" t="s">
        <v>2532</v>
      </c>
      <c r="H45" s="75" t="s">
        <v>2533</v>
      </c>
      <c r="I45" s="75" t="s">
        <v>1845</v>
      </c>
      <c r="J45" s="75" t="s">
        <v>2672</v>
      </c>
      <c r="K45" s="75" t="s">
        <v>1500</v>
      </c>
      <c r="L45" s="88" t="s">
        <v>2065</v>
      </c>
      <c r="M45" s="75" t="s">
        <v>2673</v>
      </c>
    </row>
    <row r="46" ht="93.0" customHeight="1">
      <c r="A46" s="80" t="s">
        <v>1857</v>
      </c>
      <c r="B46" s="81" t="s">
        <v>1850</v>
      </c>
      <c r="C46" s="81" t="s">
        <v>86</v>
      </c>
      <c r="D46" s="82" t="s">
        <v>1851</v>
      </c>
      <c r="E46" s="83" t="s">
        <v>155</v>
      </c>
      <c r="F46" s="85" t="s">
        <v>55</v>
      </c>
      <c r="G46" s="78" t="s">
        <v>2532</v>
      </c>
      <c r="H46" s="81" t="s">
        <v>2533</v>
      </c>
      <c r="I46" s="81" t="s">
        <v>1853</v>
      </c>
      <c r="J46" s="81" t="s">
        <v>2674</v>
      </c>
      <c r="K46" s="81" t="s">
        <v>1500</v>
      </c>
      <c r="L46" s="87" t="s">
        <v>2065</v>
      </c>
      <c r="M46" s="81" t="s">
        <v>2675</v>
      </c>
    </row>
    <row r="47" ht="93.0" customHeight="1">
      <c r="A47" s="74" t="s">
        <v>1875</v>
      </c>
      <c r="B47" s="75" t="s">
        <v>1867</v>
      </c>
      <c r="C47" s="75" t="s">
        <v>86</v>
      </c>
      <c r="D47" s="76" t="s">
        <v>1868</v>
      </c>
      <c r="E47" s="86" t="s">
        <v>1704</v>
      </c>
      <c r="F47" s="85" t="s">
        <v>55</v>
      </c>
      <c r="G47" s="78" t="s">
        <v>2532</v>
      </c>
      <c r="H47" s="75" t="s">
        <v>2533</v>
      </c>
      <c r="I47" s="75" t="s">
        <v>1871</v>
      </c>
      <c r="J47" s="75" t="s">
        <v>2676</v>
      </c>
      <c r="K47" s="75" t="s">
        <v>1500</v>
      </c>
      <c r="L47" s="88" t="s">
        <v>2065</v>
      </c>
      <c r="M47" s="75" t="s">
        <v>2677</v>
      </c>
    </row>
    <row r="48" ht="93.0" customHeight="1">
      <c r="A48" s="80" t="s">
        <v>1899</v>
      </c>
      <c r="B48" s="81" t="s">
        <v>1891</v>
      </c>
      <c r="C48" s="81" t="s">
        <v>86</v>
      </c>
      <c r="D48" s="82" t="s">
        <v>1892</v>
      </c>
      <c r="E48" s="83" t="s">
        <v>155</v>
      </c>
      <c r="F48" s="83" t="s">
        <v>52</v>
      </c>
      <c r="G48" s="78" t="s">
        <v>2532</v>
      </c>
      <c r="H48" s="81" t="s">
        <v>2533</v>
      </c>
      <c r="I48" s="81" t="s">
        <v>1895</v>
      </c>
      <c r="J48" s="81" t="s">
        <v>2678</v>
      </c>
      <c r="K48" s="81" t="s">
        <v>1500</v>
      </c>
      <c r="L48" s="87" t="s">
        <v>2065</v>
      </c>
      <c r="M48" s="81" t="s">
        <v>2679</v>
      </c>
    </row>
    <row r="49" ht="93.0" customHeight="1">
      <c r="A49" s="74" t="s">
        <v>2088</v>
      </c>
      <c r="B49" s="75" t="s">
        <v>2080</v>
      </c>
      <c r="C49" s="75" t="s">
        <v>86</v>
      </c>
      <c r="D49" s="76" t="s">
        <v>2680</v>
      </c>
      <c r="E49" s="77" t="s">
        <v>85</v>
      </c>
      <c r="F49" s="83" t="s">
        <v>52</v>
      </c>
      <c r="G49" s="78" t="s">
        <v>2532</v>
      </c>
      <c r="H49" s="75" t="s">
        <v>2533</v>
      </c>
      <c r="I49" s="75" t="s">
        <v>2084</v>
      </c>
      <c r="J49" s="75" t="s">
        <v>2681</v>
      </c>
      <c r="K49" s="75" t="s">
        <v>18</v>
      </c>
      <c r="L49" s="88" t="s">
        <v>2682</v>
      </c>
      <c r="M49" s="75" t="s">
        <v>2683</v>
      </c>
    </row>
    <row r="50" ht="93.0" customHeight="1">
      <c r="A50" s="80" t="s">
        <v>2096</v>
      </c>
      <c r="B50" s="81" t="s">
        <v>2089</v>
      </c>
      <c r="C50" s="81" t="s">
        <v>86</v>
      </c>
      <c r="D50" s="82" t="s">
        <v>2684</v>
      </c>
      <c r="E50" s="83" t="s">
        <v>155</v>
      </c>
      <c r="F50" s="83" t="s">
        <v>52</v>
      </c>
      <c r="G50" s="78" t="s">
        <v>2532</v>
      </c>
      <c r="H50" s="81" t="s">
        <v>2533</v>
      </c>
      <c r="I50" s="81" t="s">
        <v>2092</v>
      </c>
      <c r="J50" s="81" t="s">
        <v>2685</v>
      </c>
      <c r="K50" s="81" t="s">
        <v>18</v>
      </c>
      <c r="L50" s="87" t="s">
        <v>2682</v>
      </c>
      <c r="M50" s="81" t="s">
        <v>2686</v>
      </c>
    </row>
    <row r="51" ht="93.0" customHeight="1">
      <c r="A51" s="74" t="s">
        <v>2104</v>
      </c>
      <c r="B51" s="75" t="s">
        <v>2097</v>
      </c>
      <c r="C51" s="75" t="s">
        <v>86</v>
      </c>
      <c r="D51" s="76" t="s">
        <v>2687</v>
      </c>
      <c r="E51" s="83" t="s">
        <v>155</v>
      </c>
      <c r="F51" s="83" t="s">
        <v>52</v>
      </c>
      <c r="G51" s="78" t="s">
        <v>2532</v>
      </c>
      <c r="H51" s="75" t="s">
        <v>2533</v>
      </c>
      <c r="I51" s="75" t="s">
        <v>2100</v>
      </c>
      <c r="J51" s="75" t="s">
        <v>2688</v>
      </c>
      <c r="K51" s="75" t="s">
        <v>18</v>
      </c>
      <c r="L51" s="88" t="s">
        <v>2682</v>
      </c>
      <c r="M51" s="75" t="s">
        <v>2689</v>
      </c>
    </row>
    <row r="52" ht="93.0" customHeight="1">
      <c r="A52" s="80" t="s">
        <v>2117</v>
      </c>
      <c r="B52" s="81" t="s">
        <v>2111</v>
      </c>
      <c r="C52" s="81" t="s">
        <v>86</v>
      </c>
      <c r="D52" s="82" t="s">
        <v>2690</v>
      </c>
      <c r="E52" s="83" t="s">
        <v>155</v>
      </c>
      <c r="F52" s="83" t="s">
        <v>52</v>
      </c>
      <c r="G52" s="78" t="s">
        <v>2532</v>
      </c>
      <c r="H52" s="81" t="s">
        <v>2533</v>
      </c>
      <c r="I52" s="81" t="s">
        <v>2113</v>
      </c>
      <c r="J52" s="81" t="s">
        <v>2691</v>
      </c>
      <c r="K52" s="81" t="s">
        <v>18</v>
      </c>
      <c r="L52" s="87" t="s">
        <v>2682</v>
      </c>
      <c r="M52" s="81" t="s">
        <v>2692</v>
      </c>
    </row>
    <row r="53" ht="93.0" customHeight="1">
      <c r="A53" s="74" t="s">
        <v>2124</v>
      </c>
      <c r="B53" s="75" t="s">
        <v>2118</v>
      </c>
      <c r="C53" s="75" t="s">
        <v>86</v>
      </c>
      <c r="D53" s="76" t="s">
        <v>2693</v>
      </c>
      <c r="E53" s="83" t="s">
        <v>155</v>
      </c>
      <c r="F53" s="83" t="s">
        <v>52</v>
      </c>
      <c r="G53" s="78" t="s">
        <v>2532</v>
      </c>
      <c r="H53" s="75" t="s">
        <v>2533</v>
      </c>
      <c r="I53" s="75" t="s">
        <v>2120</v>
      </c>
      <c r="J53" s="75" t="s">
        <v>2694</v>
      </c>
      <c r="K53" s="75" t="s">
        <v>18</v>
      </c>
      <c r="L53" s="88" t="s">
        <v>2682</v>
      </c>
      <c r="M53" s="75" t="s">
        <v>2695</v>
      </c>
    </row>
    <row r="54" ht="93.0" customHeight="1">
      <c r="A54" s="80" t="s">
        <v>2169</v>
      </c>
      <c r="B54" s="81" t="s">
        <v>2162</v>
      </c>
      <c r="C54" s="81" t="s">
        <v>86</v>
      </c>
      <c r="D54" s="82" t="s">
        <v>2696</v>
      </c>
      <c r="E54" s="83" t="s">
        <v>155</v>
      </c>
      <c r="F54" s="83" t="s">
        <v>52</v>
      </c>
      <c r="G54" s="78" t="s">
        <v>2532</v>
      </c>
      <c r="H54" s="81" t="s">
        <v>2533</v>
      </c>
      <c r="I54" s="81" t="s">
        <v>2165</v>
      </c>
      <c r="J54" s="81" t="s">
        <v>2697</v>
      </c>
      <c r="K54" s="81" t="s">
        <v>18</v>
      </c>
      <c r="L54" s="87" t="s">
        <v>2682</v>
      </c>
      <c r="M54" s="81" t="s">
        <v>2698</v>
      </c>
    </row>
    <row r="55" ht="93.0" customHeight="1">
      <c r="A55" s="74" t="s">
        <v>2176</v>
      </c>
      <c r="B55" s="75" t="s">
        <v>2170</v>
      </c>
      <c r="C55" s="75" t="s">
        <v>86</v>
      </c>
      <c r="D55" s="76" t="s">
        <v>2699</v>
      </c>
      <c r="E55" s="83" t="s">
        <v>155</v>
      </c>
      <c r="F55" s="83" t="s">
        <v>52</v>
      </c>
      <c r="G55" s="78" t="s">
        <v>2532</v>
      </c>
      <c r="H55" s="75" t="s">
        <v>2533</v>
      </c>
      <c r="I55" s="75" t="s">
        <v>2172</v>
      </c>
      <c r="J55" s="75" t="s">
        <v>2700</v>
      </c>
      <c r="K55" s="75" t="s">
        <v>18</v>
      </c>
      <c r="L55" s="88" t="s">
        <v>2682</v>
      </c>
      <c r="M55" s="75" t="s">
        <v>2701</v>
      </c>
    </row>
    <row r="56" ht="93.0" customHeight="1">
      <c r="A56" s="80" t="s">
        <v>2183</v>
      </c>
      <c r="B56" s="81" t="s">
        <v>2177</v>
      </c>
      <c r="C56" s="81" t="s">
        <v>86</v>
      </c>
      <c r="D56" s="82" t="s">
        <v>2702</v>
      </c>
      <c r="E56" s="83" t="s">
        <v>155</v>
      </c>
      <c r="F56" s="83" t="s">
        <v>52</v>
      </c>
      <c r="G56" s="78" t="s">
        <v>2532</v>
      </c>
      <c r="H56" s="81" t="s">
        <v>2533</v>
      </c>
      <c r="I56" s="81" t="s">
        <v>2179</v>
      </c>
      <c r="J56" s="81" t="s">
        <v>2703</v>
      </c>
      <c r="K56" s="81" t="s">
        <v>18</v>
      </c>
      <c r="L56" s="87" t="s">
        <v>2682</v>
      </c>
      <c r="M56" s="81" t="s">
        <v>2704</v>
      </c>
    </row>
    <row r="57" ht="93.0" customHeight="1">
      <c r="A57" s="74" t="s">
        <v>2190</v>
      </c>
      <c r="B57" s="75" t="s">
        <v>2184</v>
      </c>
      <c r="C57" s="75" t="s">
        <v>86</v>
      </c>
      <c r="D57" s="76" t="s">
        <v>2705</v>
      </c>
      <c r="E57" s="83" t="s">
        <v>155</v>
      </c>
      <c r="F57" s="83" t="s">
        <v>52</v>
      </c>
      <c r="G57" s="78" t="s">
        <v>2532</v>
      </c>
      <c r="H57" s="75" t="s">
        <v>2533</v>
      </c>
      <c r="I57" s="75" t="s">
        <v>2186</v>
      </c>
      <c r="J57" s="75" t="s">
        <v>2706</v>
      </c>
      <c r="K57" s="75" t="s">
        <v>18</v>
      </c>
      <c r="L57" s="88" t="s">
        <v>2682</v>
      </c>
      <c r="M57" s="75" t="s">
        <v>2707</v>
      </c>
    </row>
    <row r="58" ht="93.0" customHeight="1">
      <c r="A58" s="80" t="s">
        <v>2197</v>
      </c>
      <c r="B58" s="81" t="s">
        <v>2191</v>
      </c>
      <c r="C58" s="81" t="s">
        <v>86</v>
      </c>
      <c r="D58" s="82" t="s">
        <v>2708</v>
      </c>
      <c r="E58" s="83" t="s">
        <v>155</v>
      </c>
      <c r="F58" s="83" t="s">
        <v>52</v>
      </c>
      <c r="G58" s="78" t="s">
        <v>2532</v>
      </c>
      <c r="H58" s="81" t="s">
        <v>2533</v>
      </c>
      <c r="I58" s="81" t="s">
        <v>2193</v>
      </c>
      <c r="J58" s="81" t="s">
        <v>2709</v>
      </c>
      <c r="K58" s="81" t="s">
        <v>18</v>
      </c>
      <c r="L58" s="87" t="s">
        <v>2682</v>
      </c>
      <c r="M58" s="81" t="s">
        <v>2710</v>
      </c>
    </row>
    <row r="59" ht="93.0" customHeight="1">
      <c r="A59" s="74" t="s">
        <v>2309</v>
      </c>
      <c r="B59" s="75" t="s">
        <v>2302</v>
      </c>
      <c r="C59" s="75" t="s">
        <v>86</v>
      </c>
      <c r="D59" s="76" t="s">
        <v>2711</v>
      </c>
      <c r="E59" s="77" t="s">
        <v>85</v>
      </c>
      <c r="F59" s="83" t="s">
        <v>52</v>
      </c>
      <c r="G59" s="78" t="s">
        <v>2532</v>
      </c>
      <c r="H59" s="75" t="s">
        <v>2533</v>
      </c>
      <c r="I59" s="75" t="s">
        <v>2306</v>
      </c>
      <c r="J59" s="75" t="s">
        <v>2712</v>
      </c>
      <c r="K59" s="75" t="s">
        <v>18</v>
      </c>
      <c r="L59" s="88" t="s">
        <v>2682</v>
      </c>
      <c r="M59" s="75" t="s">
        <v>2713</v>
      </c>
    </row>
    <row r="60" ht="93.0" customHeight="1">
      <c r="A60" s="80" t="s">
        <v>2344</v>
      </c>
      <c r="B60" s="81" t="s">
        <v>2335</v>
      </c>
      <c r="C60" s="81" t="s">
        <v>86</v>
      </c>
      <c r="D60" s="82" t="s">
        <v>2714</v>
      </c>
      <c r="E60" s="83" t="s">
        <v>155</v>
      </c>
      <c r="F60" s="83" t="s">
        <v>52</v>
      </c>
      <c r="G60" s="78" t="s">
        <v>2532</v>
      </c>
      <c r="H60" s="81" t="s">
        <v>2533</v>
      </c>
      <c r="I60" s="81" t="s">
        <v>2340</v>
      </c>
      <c r="J60" s="81" t="s">
        <v>2715</v>
      </c>
      <c r="K60" s="81" t="s">
        <v>18</v>
      </c>
      <c r="L60" s="87" t="s">
        <v>2682</v>
      </c>
      <c r="M60" s="81" t="s">
        <v>2716</v>
      </c>
    </row>
    <row r="61" ht="93.0" customHeight="1">
      <c r="A61" s="74" t="s">
        <v>2360</v>
      </c>
      <c r="B61" s="75" t="s">
        <v>2352</v>
      </c>
      <c r="C61" s="75" t="s">
        <v>86</v>
      </c>
      <c r="D61" s="76" t="s">
        <v>2717</v>
      </c>
      <c r="E61" s="83" t="s">
        <v>155</v>
      </c>
      <c r="F61" s="85" t="s">
        <v>55</v>
      </c>
      <c r="G61" s="78" t="s">
        <v>2532</v>
      </c>
      <c r="H61" s="75" t="s">
        <v>2533</v>
      </c>
      <c r="I61" s="75" t="s">
        <v>2356</v>
      </c>
      <c r="J61" s="75" t="s">
        <v>2718</v>
      </c>
      <c r="K61" s="75" t="s">
        <v>18</v>
      </c>
      <c r="L61" s="88" t="s">
        <v>2682</v>
      </c>
      <c r="M61" s="75" t="s">
        <v>2719</v>
      </c>
    </row>
    <row r="62" ht="18.0" customHeight="1">
      <c r="A62" s="89"/>
      <c r="B62" s="89"/>
      <c r="C62" s="89"/>
      <c r="D62" s="89"/>
      <c r="E62" s="90"/>
      <c r="G62" s="90"/>
      <c r="H62" s="89"/>
      <c r="I62" s="89"/>
      <c r="J62" s="89"/>
      <c r="K62" s="89"/>
      <c r="L62" s="89"/>
    </row>
    <row r="63" ht="18.0" customHeight="1">
      <c r="A63" s="89"/>
      <c r="B63" s="89"/>
      <c r="C63" s="89"/>
      <c r="D63" s="89"/>
      <c r="E63" s="90"/>
      <c r="G63" s="90"/>
      <c r="H63" s="89"/>
      <c r="I63" s="89"/>
      <c r="J63" s="89"/>
      <c r="K63" s="89"/>
      <c r="L63" s="89"/>
    </row>
    <row r="64" ht="18.0" customHeight="1">
      <c r="A64" s="89"/>
      <c r="B64" s="89"/>
      <c r="C64" s="89"/>
      <c r="D64" s="89"/>
      <c r="E64" s="90"/>
      <c r="G64" s="90"/>
      <c r="H64" s="89"/>
      <c r="I64" s="89"/>
      <c r="J64" s="89"/>
      <c r="K64" s="89"/>
      <c r="L64" s="89"/>
    </row>
    <row r="65" ht="18.0" customHeight="1">
      <c r="A65" s="89"/>
      <c r="B65" s="89"/>
      <c r="C65" s="89"/>
      <c r="D65" s="89"/>
      <c r="E65" s="90"/>
      <c r="G65" s="90"/>
      <c r="H65" s="89"/>
      <c r="I65" s="89"/>
      <c r="J65" s="89"/>
      <c r="K65" s="89"/>
      <c r="L65" s="89"/>
    </row>
    <row r="66" ht="18.0" customHeight="1">
      <c r="A66" s="89"/>
      <c r="B66" s="89"/>
      <c r="C66" s="89"/>
      <c r="D66" s="89"/>
      <c r="E66" s="90"/>
      <c r="G66" s="90"/>
      <c r="H66" s="89"/>
      <c r="I66" s="89"/>
      <c r="J66" s="89"/>
      <c r="K66" s="89"/>
      <c r="L66" s="89"/>
    </row>
    <row r="67" ht="18.0" customHeight="1">
      <c r="A67" s="89"/>
      <c r="B67" s="89"/>
      <c r="C67" s="89"/>
      <c r="D67" s="89"/>
      <c r="E67" s="90"/>
      <c r="G67" s="90"/>
      <c r="H67" s="89"/>
      <c r="I67" s="89"/>
      <c r="J67" s="89"/>
      <c r="K67" s="89"/>
      <c r="L67" s="89"/>
    </row>
    <row r="68" ht="18.0" customHeight="1">
      <c r="A68" s="89"/>
      <c r="B68" s="89"/>
      <c r="C68" s="89"/>
      <c r="D68" s="89"/>
      <c r="E68" s="90"/>
      <c r="G68" s="90"/>
      <c r="H68" s="89"/>
      <c r="I68" s="89"/>
      <c r="J68" s="89"/>
      <c r="K68" s="89"/>
      <c r="L68" s="89"/>
    </row>
    <row r="69" ht="18.0" customHeight="1">
      <c r="A69" s="89"/>
      <c r="B69" s="89"/>
      <c r="C69" s="89"/>
      <c r="D69" s="89"/>
      <c r="E69" s="90"/>
      <c r="G69" s="90"/>
      <c r="H69" s="89"/>
      <c r="I69" s="89"/>
      <c r="J69" s="89"/>
      <c r="K69" s="89"/>
      <c r="L69" s="89"/>
    </row>
    <row r="70" ht="18.0" customHeight="1">
      <c r="A70" s="89"/>
      <c r="B70" s="89"/>
      <c r="C70" s="89"/>
      <c r="D70" s="89"/>
      <c r="E70" s="90"/>
      <c r="G70" s="90"/>
      <c r="H70" s="89"/>
      <c r="I70" s="89"/>
      <c r="J70" s="89"/>
      <c r="K70" s="89"/>
      <c r="L70" s="89"/>
    </row>
    <row r="71" ht="18.0" customHeight="1">
      <c r="A71" s="89"/>
      <c r="B71" s="89"/>
      <c r="C71" s="89"/>
      <c r="D71" s="89"/>
      <c r="E71" s="90"/>
      <c r="G71" s="90"/>
      <c r="H71" s="89"/>
      <c r="I71" s="89"/>
      <c r="J71" s="89"/>
      <c r="K71" s="89"/>
      <c r="L71" s="89"/>
    </row>
    <row r="72" ht="18.0" customHeight="1">
      <c r="A72" s="89"/>
      <c r="B72" s="89"/>
      <c r="C72" s="89"/>
      <c r="D72" s="89"/>
      <c r="E72" s="90"/>
      <c r="G72" s="90"/>
      <c r="H72" s="89"/>
      <c r="I72" s="89"/>
      <c r="J72" s="89"/>
      <c r="K72" s="89"/>
      <c r="L72" s="89"/>
    </row>
    <row r="73" ht="18.0" customHeight="1">
      <c r="A73" s="89"/>
      <c r="B73" s="89"/>
      <c r="C73" s="89"/>
      <c r="D73" s="89"/>
      <c r="E73" s="90"/>
      <c r="G73" s="90"/>
      <c r="H73" s="89"/>
      <c r="I73" s="89"/>
      <c r="J73" s="89"/>
      <c r="K73" s="89"/>
      <c r="L73" s="89"/>
    </row>
    <row r="74" ht="18.0" customHeight="1">
      <c r="A74" s="89"/>
      <c r="B74" s="89"/>
      <c r="C74" s="89"/>
      <c r="D74" s="89"/>
      <c r="E74" s="90"/>
      <c r="G74" s="90"/>
      <c r="H74" s="89"/>
      <c r="I74" s="89"/>
      <c r="J74" s="89"/>
      <c r="K74" s="89"/>
      <c r="L74" s="89"/>
    </row>
    <row r="75" ht="18.0" customHeight="1">
      <c r="A75" s="89"/>
      <c r="B75" s="89"/>
      <c r="C75" s="89"/>
      <c r="D75" s="89"/>
      <c r="E75" s="90"/>
      <c r="G75" s="90"/>
      <c r="H75" s="89"/>
      <c r="I75" s="89"/>
      <c r="J75" s="89"/>
      <c r="K75" s="89"/>
      <c r="L75" s="89"/>
    </row>
    <row r="76" ht="18.0" customHeight="1">
      <c r="A76" s="89"/>
      <c r="B76" s="89"/>
      <c r="C76" s="89"/>
      <c r="D76" s="89"/>
      <c r="E76" s="90"/>
      <c r="G76" s="90"/>
      <c r="H76" s="89"/>
      <c r="I76" s="89"/>
      <c r="J76" s="89"/>
      <c r="K76" s="89"/>
      <c r="L76" s="89"/>
    </row>
    <row r="77" ht="18.0" customHeight="1">
      <c r="A77" s="89"/>
      <c r="B77" s="89"/>
      <c r="C77" s="89"/>
      <c r="D77" s="89"/>
      <c r="E77" s="90"/>
      <c r="G77" s="90"/>
      <c r="H77" s="89"/>
      <c r="I77" s="89"/>
      <c r="J77" s="89"/>
      <c r="K77" s="89"/>
      <c r="L77" s="89"/>
    </row>
    <row r="78" ht="18.0" customHeight="1">
      <c r="A78" s="89"/>
      <c r="B78" s="89"/>
      <c r="C78" s="89"/>
      <c r="D78" s="89"/>
      <c r="E78" s="90"/>
      <c r="G78" s="90"/>
      <c r="H78" s="89"/>
      <c r="I78" s="89"/>
      <c r="J78" s="89"/>
      <c r="K78" s="89"/>
      <c r="L78" s="89"/>
    </row>
    <row r="79" ht="18.0" customHeight="1">
      <c r="A79" s="89"/>
      <c r="B79" s="89"/>
      <c r="C79" s="89"/>
      <c r="D79" s="89"/>
      <c r="E79" s="90"/>
      <c r="G79" s="90"/>
      <c r="H79" s="89"/>
      <c r="I79" s="89"/>
      <c r="J79" s="89"/>
      <c r="K79" s="89"/>
      <c r="L79" s="89"/>
    </row>
    <row r="80" ht="18.0" customHeight="1">
      <c r="A80" s="89"/>
      <c r="B80" s="89"/>
      <c r="C80" s="89"/>
      <c r="D80" s="89"/>
      <c r="E80" s="90"/>
      <c r="G80" s="90"/>
      <c r="H80" s="89"/>
      <c r="I80" s="89"/>
      <c r="J80" s="89"/>
      <c r="K80" s="89"/>
      <c r="L80" s="89"/>
    </row>
    <row r="81" ht="18.0" customHeight="1">
      <c r="A81" s="89"/>
      <c r="B81" s="89"/>
      <c r="C81" s="89"/>
      <c r="D81" s="89"/>
      <c r="E81" s="90"/>
      <c r="G81" s="90"/>
      <c r="H81" s="89"/>
      <c r="I81" s="89"/>
      <c r="J81" s="89"/>
      <c r="K81" s="89"/>
      <c r="L81" s="89"/>
    </row>
    <row r="82" ht="18.0" customHeight="1">
      <c r="A82" s="89"/>
      <c r="B82" s="89"/>
      <c r="C82" s="89"/>
      <c r="D82" s="89"/>
      <c r="E82" s="90"/>
      <c r="G82" s="90"/>
      <c r="H82" s="89"/>
      <c r="I82" s="89"/>
      <c r="J82" s="89"/>
      <c r="K82" s="89"/>
      <c r="L82" s="89"/>
    </row>
    <row r="83" ht="18.0" customHeight="1">
      <c r="A83" s="89"/>
      <c r="B83" s="89"/>
      <c r="C83" s="89"/>
      <c r="D83" s="89"/>
      <c r="E83" s="90"/>
      <c r="G83" s="90"/>
      <c r="H83" s="89"/>
      <c r="I83" s="89"/>
      <c r="J83" s="89"/>
      <c r="K83" s="89"/>
      <c r="L83" s="89"/>
    </row>
    <row r="84" ht="18.0" customHeight="1">
      <c r="A84" s="89"/>
      <c r="B84" s="89"/>
      <c r="C84" s="89"/>
      <c r="D84" s="89"/>
      <c r="E84" s="90"/>
      <c r="G84" s="90"/>
      <c r="H84" s="89"/>
      <c r="I84" s="89"/>
      <c r="J84" s="89"/>
      <c r="K84" s="89"/>
      <c r="L84" s="89"/>
    </row>
    <row r="85" ht="18.0" customHeight="1">
      <c r="A85" s="89"/>
      <c r="B85" s="89"/>
      <c r="C85" s="89"/>
      <c r="D85" s="89"/>
      <c r="E85" s="90"/>
      <c r="G85" s="90"/>
      <c r="H85" s="89"/>
      <c r="I85" s="89"/>
      <c r="J85" s="89"/>
      <c r="K85" s="89"/>
      <c r="L85" s="89"/>
    </row>
    <row r="86" ht="18.0" customHeight="1">
      <c r="A86" s="89"/>
      <c r="B86" s="89"/>
      <c r="C86" s="89"/>
      <c r="D86" s="89"/>
      <c r="E86" s="90"/>
      <c r="G86" s="90"/>
      <c r="H86" s="89"/>
      <c r="I86" s="89"/>
      <c r="J86" s="89"/>
      <c r="K86" s="89"/>
      <c r="L86" s="89"/>
    </row>
    <row r="87" ht="18.0" customHeight="1">
      <c r="A87" s="89"/>
      <c r="B87" s="89"/>
      <c r="C87" s="89"/>
      <c r="D87" s="89"/>
      <c r="E87" s="90"/>
      <c r="G87" s="90"/>
      <c r="H87" s="89"/>
      <c r="I87" s="89"/>
      <c r="J87" s="89"/>
      <c r="K87" s="89"/>
      <c r="L87" s="89"/>
    </row>
    <row r="88" ht="18.0" customHeight="1">
      <c r="A88" s="89"/>
      <c r="B88" s="89"/>
      <c r="C88" s="89"/>
      <c r="D88" s="89"/>
      <c r="E88" s="90"/>
      <c r="G88" s="90"/>
      <c r="H88" s="89"/>
      <c r="I88" s="89"/>
      <c r="J88" s="89"/>
      <c r="K88" s="89"/>
      <c r="L88" s="89"/>
    </row>
    <row r="89" ht="18.0" customHeight="1">
      <c r="A89" s="89"/>
      <c r="B89" s="89"/>
      <c r="C89" s="89"/>
      <c r="D89" s="89"/>
      <c r="E89" s="90"/>
      <c r="G89" s="90"/>
      <c r="H89" s="89"/>
      <c r="I89" s="89"/>
      <c r="J89" s="89"/>
      <c r="K89" s="89"/>
      <c r="L89" s="89"/>
    </row>
    <row r="90" ht="18.0" customHeight="1">
      <c r="A90" s="89"/>
      <c r="B90" s="89"/>
      <c r="C90" s="89"/>
      <c r="D90" s="89"/>
      <c r="E90" s="90"/>
      <c r="G90" s="90"/>
      <c r="H90" s="89"/>
      <c r="I90" s="89"/>
      <c r="J90" s="89"/>
      <c r="K90" s="89"/>
      <c r="L90" s="89"/>
    </row>
    <row r="91" ht="18.0" customHeight="1">
      <c r="A91" s="89"/>
      <c r="B91" s="89"/>
      <c r="C91" s="89"/>
      <c r="D91" s="89"/>
      <c r="E91" s="90"/>
      <c r="G91" s="90"/>
      <c r="H91" s="89"/>
      <c r="I91" s="89"/>
      <c r="J91" s="89"/>
      <c r="K91" s="89"/>
      <c r="L91" s="89"/>
    </row>
    <row r="92" ht="18.0" customHeight="1">
      <c r="A92" s="89"/>
      <c r="B92" s="89"/>
      <c r="C92" s="89"/>
      <c r="D92" s="89"/>
      <c r="E92" s="90"/>
      <c r="G92" s="90"/>
      <c r="H92" s="89"/>
      <c r="I92" s="89"/>
      <c r="J92" s="89"/>
      <c r="K92" s="89"/>
      <c r="L92" s="89"/>
    </row>
    <row r="93" ht="18.0" customHeight="1">
      <c r="A93" s="89"/>
      <c r="B93" s="89"/>
      <c r="C93" s="89"/>
      <c r="D93" s="89"/>
      <c r="E93" s="90"/>
      <c r="G93" s="90"/>
      <c r="H93" s="89"/>
      <c r="I93" s="89"/>
      <c r="J93" s="89"/>
      <c r="K93" s="89"/>
      <c r="L93" s="89"/>
    </row>
    <row r="94" ht="18.0" customHeight="1">
      <c r="A94" s="89"/>
      <c r="B94" s="89"/>
      <c r="C94" s="89"/>
      <c r="D94" s="89"/>
      <c r="E94" s="90"/>
      <c r="G94" s="90"/>
      <c r="H94" s="89"/>
      <c r="I94" s="89"/>
      <c r="J94" s="89"/>
      <c r="K94" s="89"/>
      <c r="L94" s="89"/>
    </row>
    <row r="95" ht="18.0" customHeight="1">
      <c r="A95" s="89"/>
      <c r="B95" s="89"/>
      <c r="C95" s="89"/>
      <c r="D95" s="89"/>
      <c r="E95" s="90"/>
      <c r="G95" s="90"/>
      <c r="H95" s="89"/>
      <c r="I95" s="89"/>
      <c r="J95" s="89"/>
      <c r="K95" s="89"/>
      <c r="L95" s="89"/>
    </row>
    <row r="96" ht="18.0" customHeight="1">
      <c r="A96" s="89"/>
      <c r="B96" s="89"/>
      <c r="C96" s="89"/>
      <c r="D96" s="89"/>
      <c r="E96" s="90"/>
      <c r="G96" s="90"/>
      <c r="H96" s="89"/>
      <c r="I96" s="89"/>
      <c r="J96" s="89"/>
      <c r="K96" s="89"/>
      <c r="L96" s="89"/>
    </row>
    <row r="97" ht="18.0" customHeight="1">
      <c r="A97" s="89"/>
      <c r="B97" s="89"/>
      <c r="C97" s="89"/>
      <c r="D97" s="89"/>
      <c r="E97" s="90"/>
      <c r="G97" s="90"/>
      <c r="H97" s="89"/>
      <c r="I97" s="89"/>
      <c r="J97" s="89"/>
      <c r="K97" s="89"/>
      <c r="L97" s="89"/>
    </row>
    <row r="98" ht="18.0" customHeight="1">
      <c r="A98" s="89"/>
      <c r="B98" s="89"/>
      <c r="C98" s="89"/>
      <c r="D98" s="89"/>
      <c r="E98" s="90"/>
      <c r="G98" s="90"/>
      <c r="H98" s="89"/>
      <c r="I98" s="89"/>
      <c r="J98" s="89"/>
      <c r="K98" s="89"/>
      <c r="L98" s="89"/>
    </row>
    <row r="99" ht="18.0" customHeight="1">
      <c r="A99" s="89"/>
      <c r="B99" s="89"/>
      <c r="C99" s="89"/>
      <c r="D99" s="89"/>
      <c r="E99" s="90"/>
      <c r="G99" s="90"/>
      <c r="H99" s="89"/>
      <c r="I99" s="89"/>
      <c r="J99" s="89"/>
      <c r="K99" s="89"/>
      <c r="L99" s="89"/>
    </row>
    <row r="100" ht="18.0" customHeight="1">
      <c r="A100" s="89"/>
      <c r="B100" s="89"/>
      <c r="C100" s="89"/>
      <c r="D100" s="89"/>
      <c r="E100" s="90"/>
      <c r="G100" s="90"/>
      <c r="H100" s="89"/>
      <c r="I100" s="89"/>
      <c r="J100" s="89"/>
      <c r="K100" s="89"/>
      <c r="L100" s="89"/>
    </row>
    <row r="101" ht="18.0" customHeight="1">
      <c r="A101" s="89"/>
      <c r="B101" s="89"/>
      <c r="C101" s="89"/>
      <c r="D101" s="89"/>
      <c r="E101" s="90"/>
      <c r="G101" s="90"/>
      <c r="H101" s="89"/>
      <c r="I101" s="89"/>
      <c r="J101" s="89"/>
      <c r="K101" s="89"/>
      <c r="L101" s="89"/>
    </row>
    <row r="102" ht="18.0" customHeight="1">
      <c r="A102" s="89"/>
      <c r="B102" s="89"/>
      <c r="C102" s="89"/>
      <c r="D102" s="89"/>
      <c r="E102" s="90"/>
      <c r="G102" s="90"/>
      <c r="H102" s="89"/>
      <c r="I102" s="89"/>
      <c r="J102" s="89"/>
      <c r="K102" s="89"/>
      <c r="L102" s="89"/>
    </row>
    <row r="103" ht="18.0" customHeight="1">
      <c r="A103" s="89"/>
      <c r="B103" s="89"/>
      <c r="C103" s="89"/>
      <c r="D103" s="89"/>
      <c r="E103" s="90"/>
      <c r="G103" s="90"/>
      <c r="H103" s="89"/>
      <c r="I103" s="89"/>
      <c r="J103" s="89"/>
      <c r="K103" s="89"/>
      <c r="L103" s="89"/>
    </row>
    <row r="104" ht="18.0" customHeight="1">
      <c r="A104" s="89"/>
      <c r="B104" s="89"/>
      <c r="C104" s="89"/>
      <c r="D104" s="89"/>
      <c r="E104" s="90"/>
      <c r="G104" s="90"/>
      <c r="H104" s="89"/>
      <c r="I104" s="89"/>
      <c r="J104" s="89"/>
      <c r="K104" s="89"/>
      <c r="L104" s="89"/>
    </row>
    <row r="105" ht="18.0" customHeight="1">
      <c r="A105" s="89"/>
      <c r="B105" s="89"/>
      <c r="C105" s="89"/>
      <c r="D105" s="89"/>
      <c r="E105" s="90"/>
      <c r="G105" s="90"/>
      <c r="H105" s="89"/>
      <c r="I105" s="89"/>
      <c r="J105" s="89"/>
      <c r="K105" s="89"/>
      <c r="L105" s="89"/>
    </row>
    <row r="106" ht="18.0" customHeight="1">
      <c r="A106" s="89"/>
      <c r="B106" s="89"/>
      <c r="C106" s="89"/>
      <c r="D106" s="89"/>
      <c r="E106" s="90"/>
      <c r="G106" s="90"/>
      <c r="H106" s="89"/>
      <c r="I106" s="89"/>
      <c r="J106" s="89"/>
      <c r="K106" s="89"/>
      <c r="L106" s="89"/>
    </row>
    <row r="107" ht="18.0" customHeight="1">
      <c r="A107" s="89"/>
      <c r="B107" s="89"/>
      <c r="C107" s="89"/>
      <c r="D107" s="89"/>
      <c r="E107" s="90"/>
      <c r="G107" s="90"/>
      <c r="H107" s="89"/>
      <c r="I107" s="89"/>
      <c r="J107" s="89"/>
      <c r="K107" s="89"/>
      <c r="L107" s="89"/>
    </row>
    <row r="108" ht="18.0" customHeight="1">
      <c r="A108" s="89"/>
      <c r="B108" s="89"/>
      <c r="C108" s="89"/>
      <c r="D108" s="89"/>
      <c r="E108" s="90"/>
      <c r="G108" s="90"/>
      <c r="H108" s="89"/>
      <c r="I108" s="89"/>
      <c r="J108" s="89"/>
      <c r="K108" s="89"/>
      <c r="L108" s="89"/>
    </row>
    <row r="109" ht="18.0" customHeight="1">
      <c r="A109" s="89"/>
      <c r="B109" s="89"/>
      <c r="C109" s="89"/>
      <c r="D109" s="89"/>
      <c r="E109" s="90"/>
      <c r="G109" s="90"/>
      <c r="H109" s="89"/>
      <c r="I109" s="89"/>
      <c r="J109" s="89"/>
      <c r="K109" s="89"/>
      <c r="L109" s="89"/>
    </row>
    <row r="110" ht="18.0" customHeight="1">
      <c r="A110" s="89"/>
      <c r="B110" s="89"/>
      <c r="C110" s="89"/>
      <c r="D110" s="89"/>
      <c r="E110" s="90"/>
      <c r="G110" s="90"/>
      <c r="H110" s="89"/>
      <c r="I110" s="89"/>
      <c r="J110" s="89"/>
      <c r="K110" s="89"/>
      <c r="L110" s="89"/>
    </row>
    <row r="111" ht="18.0" customHeight="1">
      <c r="A111" s="89"/>
      <c r="B111" s="89"/>
      <c r="C111" s="89"/>
      <c r="D111" s="89"/>
      <c r="E111" s="90"/>
      <c r="G111" s="90"/>
      <c r="H111" s="89"/>
      <c r="I111" s="89"/>
      <c r="J111" s="89"/>
      <c r="K111" s="89"/>
      <c r="L111" s="89"/>
    </row>
    <row r="112" ht="18.0" customHeight="1">
      <c r="A112" s="89"/>
      <c r="B112" s="89"/>
      <c r="C112" s="89"/>
      <c r="D112" s="89"/>
      <c r="E112" s="90"/>
      <c r="G112" s="90"/>
      <c r="H112" s="89"/>
      <c r="I112" s="89"/>
      <c r="J112" s="89"/>
      <c r="K112" s="89"/>
      <c r="L112" s="89"/>
    </row>
    <row r="113" ht="18.0" customHeight="1">
      <c r="A113" s="89"/>
      <c r="B113" s="89"/>
      <c r="C113" s="89"/>
      <c r="D113" s="89"/>
      <c r="E113" s="90"/>
      <c r="G113" s="90"/>
      <c r="H113" s="89"/>
      <c r="I113" s="89"/>
      <c r="J113" s="89"/>
      <c r="K113" s="89"/>
      <c r="L113" s="89"/>
    </row>
    <row r="114" ht="18.0" customHeight="1">
      <c r="A114" s="89"/>
      <c r="B114" s="89"/>
      <c r="C114" s="89"/>
      <c r="D114" s="89"/>
      <c r="E114" s="90"/>
      <c r="G114" s="90"/>
      <c r="H114" s="89"/>
      <c r="I114" s="89"/>
      <c r="J114" s="89"/>
      <c r="K114" s="89"/>
      <c r="L114" s="89"/>
    </row>
    <row r="115" ht="18.0" customHeight="1">
      <c r="A115" s="89"/>
      <c r="B115" s="89"/>
      <c r="C115" s="89"/>
      <c r="D115" s="89"/>
      <c r="E115" s="90"/>
      <c r="G115" s="90"/>
      <c r="H115" s="89"/>
      <c r="I115" s="89"/>
      <c r="J115" s="89"/>
      <c r="K115" s="89"/>
      <c r="L115" s="89"/>
    </row>
    <row r="116" ht="18.0" customHeight="1">
      <c r="A116" s="89"/>
      <c r="B116" s="89"/>
      <c r="C116" s="89"/>
      <c r="D116" s="89"/>
      <c r="E116" s="90"/>
      <c r="G116" s="90"/>
      <c r="H116" s="89"/>
      <c r="I116" s="89"/>
      <c r="J116" s="89"/>
      <c r="K116" s="89"/>
      <c r="L116" s="89"/>
    </row>
    <row r="117" ht="18.0" customHeight="1">
      <c r="A117" s="89"/>
      <c r="B117" s="89"/>
      <c r="C117" s="89"/>
      <c r="D117" s="89"/>
      <c r="E117" s="90"/>
      <c r="G117" s="90"/>
      <c r="H117" s="89"/>
      <c r="I117" s="89"/>
      <c r="J117" s="89"/>
      <c r="K117" s="89"/>
      <c r="L117" s="89"/>
    </row>
    <row r="118" ht="18.0" customHeight="1">
      <c r="A118" s="89"/>
      <c r="B118" s="89"/>
      <c r="C118" s="89"/>
      <c r="D118" s="89"/>
      <c r="E118" s="90"/>
      <c r="G118" s="90"/>
      <c r="H118" s="89"/>
      <c r="I118" s="89"/>
      <c r="J118" s="89"/>
      <c r="K118" s="89"/>
      <c r="L118" s="89"/>
    </row>
    <row r="119" ht="18.0" customHeight="1">
      <c r="A119" s="89"/>
      <c r="B119" s="89"/>
      <c r="C119" s="89"/>
      <c r="D119" s="89"/>
      <c r="E119" s="90"/>
      <c r="G119" s="90"/>
      <c r="H119" s="89"/>
      <c r="I119" s="89"/>
      <c r="J119" s="89"/>
      <c r="K119" s="89"/>
      <c r="L119" s="89"/>
    </row>
    <row r="120" ht="18.0" customHeight="1">
      <c r="A120" s="89"/>
      <c r="B120" s="89"/>
      <c r="C120" s="89"/>
      <c r="D120" s="89"/>
      <c r="E120" s="90"/>
      <c r="G120" s="90"/>
      <c r="H120" s="89"/>
      <c r="I120" s="89"/>
      <c r="J120" s="89"/>
      <c r="K120" s="89"/>
      <c r="L120" s="89"/>
    </row>
    <row r="121" ht="18.0" customHeight="1">
      <c r="A121" s="89"/>
      <c r="B121" s="89"/>
      <c r="C121" s="89"/>
      <c r="D121" s="89"/>
      <c r="E121" s="90"/>
      <c r="G121" s="90"/>
      <c r="H121" s="89"/>
      <c r="I121" s="89"/>
      <c r="J121" s="89"/>
      <c r="K121" s="89"/>
      <c r="L121" s="89"/>
    </row>
    <row r="122" ht="18.0" customHeight="1">
      <c r="A122" s="89"/>
      <c r="B122" s="89"/>
      <c r="C122" s="89"/>
      <c r="D122" s="89"/>
      <c r="E122" s="90"/>
      <c r="G122" s="90"/>
      <c r="H122" s="89"/>
      <c r="I122" s="89"/>
      <c r="J122" s="89"/>
      <c r="K122" s="89"/>
      <c r="L122" s="89"/>
    </row>
    <row r="123" ht="18.0" customHeight="1">
      <c r="A123" s="89"/>
      <c r="B123" s="89"/>
      <c r="C123" s="89"/>
      <c r="D123" s="89"/>
      <c r="E123" s="90"/>
      <c r="G123" s="90"/>
      <c r="H123" s="89"/>
      <c r="I123" s="89"/>
      <c r="J123" s="89"/>
      <c r="K123" s="89"/>
      <c r="L123" s="89"/>
    </row>
    <row r="124" ht="18.0" customHeight="1">
      <c r="A124" s="89"/>
      <c r="B124" s="89"/>
      <c r="C124" s="89"/>
      <c r="D124" s="89"/>
      <c r="E124" s="90"/>
      <c r="G124" s="90"/>
      <c r="H124" s="89"/>
      <c r="I124" s="89"/>
      <c r="J124" s="89"/>
      <c r="K124" s="89"/>
      <c r="L124" s="89"/>
    </row>
    <row r="125" ht="18.0" customHeight="1">
      <c r="A125" s="89"/>
      <c r="B125" s="89"/>
      <c r="C125" s="89"/>
      <c r="D125" s="89"/>
      <c r="E125" s="90"/>
      <c r="G125" s="90"/>
      <c r="H125" s="89"/>
      <c r="I125" s="89"/>
      <c r="J125" s="89"/>
      <c r="K125" s="89"/>
      <c r="L125" s="89"/>
    </row>
    <row r="126" ht="18.0" customHeight="1">
      <c r="A126" s="89"/>
      <c r="B126" s="89"/>
      <c r="C126" s="89"/>
      <c r="D126" s="89"/>
      <c r="E126" s="90"/>
      <c r="G126" s="90"/>
      <c r="H126" s="89"/>
      <c r="I126" s="89"/>
      <c r="J126" s="89"/>
      <c r="K126" s="89"/>
      <c r="L126" s="89"/>
    </row>
    <row r="127" ht="18.0" customHeight="1">
      <c r="A127" s="89"/>
      <c r="B127" s="89"/>
      <c r="C127" s="89"/>
      <c r="D127" s="89"/>
      <c r="E127" s="90"/>
      <c r="G127" s="90"/>
      <c r="H127" s="89"/>
      <c r="I127" s="89"/>
      <c r="J127" s="89"/>
      <c r="K127" s="89"/>
      <c r="L127" s="89"/>
    </row>
    <row r="128" ht="18.0" customHeight="1">
      <c r="A128" s="89"/>
      <c r="B128" s="89"/>
      <c r="C128" s="89"/>
      <c r="D128" s="89"/>
      <c r="E128" s="90"/>
      <c r="G128" s="90"/>
      <c r="H128" s="89"/>
      <c r="I128" s="89"/>
      <c r="J128" s="89"/>
      <c r="K128" s="89"/>
      <c r="L128" s="89"/>
    </row>
    <row r="129" ht="18.0" customHeight="1">
      <c r="A129" s="89"/>
      <c r="B129" s="89"/>
      <c r="C129" s="89"/>
      <c r="D129" s="89"/>
      <c r="E129" s="90"/>
      <c r="G129" s="90"/>
      <c r="H129" s="89"/>
      <c r="I129" s="89"/>
      <c r="J129" s="89"/>
      <c r="K129" s="89"/>
      <c r="L129" s="89"/>
    </row>
    <row r="130" ht="18.0" customHeight="1">
      <c r="A130" s="89"/>
      <c r="B130" s="89"/>
      <c r="C130" s="89"/>
      <c r="D130" s="89"/>
      <c r="E130" s="90"/>
      <c r="G130" s="90"/>
      <c r="H130" s="89"/>
      <c r="I130" s="89"/>
      <c r="J130" s="89"/>
      <c r="K130" s="89"/>
      <c r="L130" s="89"/>
    </row>
    <row r="131" ht="18.0" customHeight="1">
      <c r="A131" s="89"/>
      <c r="B131" s="89"/>
      <c r="C131" s="89"/>
      <c r="D131" s="89"/>
      <c r="E131" s="90"/>
      <c r="G131" s="90"/>
      <c r="H131" s="89"/>
      <c r="I131" s="89"/>
      <c r="J131" s="89"/>
      <c r="K131" s="89"/>
      <c r="L131" s="89"/>
    </row>
    <row r="132" ht="18.0" customHeight="1">
      <c r="A132" s="89"/>
      <c r="B132" s="89"/>
      <c r="C132" s="89"/>
      <c r="D132" s="89"/>
      <c r="E132" s="90"/>
      <c r="G132" s="90"/>
      <c r="H132" s="89"/>
      <c r="I132" s="89"/>
      <c r="J132" s="89"/>
      <c r="K132" s="89"/>
      <c r="L132" s="89"/>
    </row>
    <row r="133" ht="18.0" customHeight="1">
      <c r="A133" s="89"/>
      <c r="B133" s="89"/>
      <c r="C133" s="89"/>
      <c r="D133" s="89"/>
      <c r="E133" s="90"/>
      <c r="G133" s="90"/>
      <c r="H133" s="89"/>
      <c r="I133" s="89"/>
      <c r="J133" s="89"/>
      <c r="K133" s="89"/>
      <c r="L133" s="89"/>
    </row>
    <row r="134" ht="18.0" customHeight="1">
      <c r="A134" s="89"/>
      <c r="B134" s="89"/>
      <c r="C134" s="89"/>
      <c r="D134" s="89"/>
      <c r="E134" s="90"/>
      <c r="G134" s="90"/>
      <c r="H134" s="89"/>
      <c r="I134" s="89"/>
      <c r="J134" s="89"/>
      <c r="K134" s="89"/>
      <c r="L134" s="89"/>
    </row>
    <row r="135" ht="18.0" customHeight="1">
      <c r="A135" s="89"/>
      <c r="B135" s="89"/>
      <c r="C135" s="89"/>
      <c r="D135" s="89"/>
      <c r="E135" s="90"/>
      <c r="G135" s="90"/>
      <c r="H135" s="89"/>
      <c r="I135" s="89"/>
      <c r="J135" s="89"/>
      <c r="K135" s="89"/>
      <c r="L135" s="89"/>
    </row>
    <row r="136" ht="18.0" customHeight="1">
      <c r="A136" s="89"/>
      <c r="B136" s="89"/>
      <c r="C136" s="89"/>
      <c r="D136" s="89"/>
      <c r="E136" s="90"/>
      <c r="G136" s="90"/>
      <c r="H136" s="89"/>
      <c r="I136" s="89"/>
      <c r="J136" s="89"/>
      <c r="K136" s="89"/>
      <c r="L136" s="89"/>
    </row>
    <row r="137" ht="18.0" customHeight="1">
      <c r="A137" s="89"/>
      <c r="B137" s="89"/>
      <c r="C137" s="89"/>
      <c r="D137" s="89"/>
      <c r="E137" s="90"/>
      <c r="G137" s="90"/>
      <c r="H137" s="89"/>
      <c r="I137" s="89"/>
      <c r="J137" s="89"/>
      <c r="K137" s="89"/>
      <c r="L137" s="89"/>
    </row>
    <row r="138" ht="18.0" customHeight="1">
      <c r="A138" s="89"/>
      <c r="B138" s="89"/>
      <c r="C138" s="89"/>
      <c r="D138" s="89"/>
      <c r="E138" s="90"/>
      <c r="G138" s="90"/>
      <c r="H138" s="89"/>
      <c r="I138" s="89"/>
      <c r="J138" s="89"/>
      <c r="K138" s="89"/>
      <c r="L138" s="89"/>
    </row>
    <row r="139" ht="18.0" customHeight="1">
      <c r="A139" s="89"/>
      <c r="B139" s="89"/>
      <c r="C139" s="89"/>
      <c r="D139" s="89"/>
      <c r="E139" s="90"/>
      <c r="G139" s="90"/>
      <c r="H139" s="89"/>
      <c r="I139" s="89"/>
      <c r="J139" s="89"/>
      <c r="K139" s="89"/>
      <c r="L139" s="89"/>
    </row>
    <row r="140" ht="18.0" customHeight="1">
      <c r="A140" s="89"/>
      <c r="B140" s="89"/>
      <c r="C140" s="89"/>
      <c r="D140" s="89"/>
      <c r="E140" s="90"/>
      <c r="G140" s="90"/>
      <c r="H140" s="89"/>
      <c r="I140" s="89"/>
      <c r="J140" s="89"/>
      <c r="K140" s="89"/>
      <c r="L140" s="89"/>
    </row>
    <row r="141" ht="18.0" customHeight="1">
      <c r="A141" s="89"/>
      <c r="B141" s="89"/>
      <c r="C141" s="89"/>
      <c r="D141" s="89"/>
      <c r="E141" s="90"/>
      <c r="G141" s="90"/>
      <c r="H141" s="89"/>
      <c r="I141" s="89"/>
      <c r="J141" s="89"/>
      <c r="K141" s="89"/>
      <c r="L141" s="89"/>
    </row>
    <row r="142" ht="18.0" customHeight="1">
      <c r="A142" s="89"/>
      <c r="B142" s="89"/>
      <c r="C142" s="89"/>
      <c r="D142" s="89"/>
      <c r="E142" s="90"/>
      <c r="G142" s="90"/>
      <c r="H142" s="89"/>
      <c r="I142" s="89"/>
      <c r="J142" s="89"/>
      <c r="K142" s="89"/>
      <c r="L142" s="89"/>
    </row>
    <row r="143" ht="18.0" customHeight="1">
      <c r="A143" s="89"/>
      <c r="B143" s="89"/>
      <c r="C143" s="89"/>
      <c r="D143" s="89"/>
      <c r="E143" s="90"/>
      <c r="G143" s="90"/>
      <c r="H143" s="89"/>
      <c r="I143" s="89"/>
      <c r="J143" s="89"/>
      <c r="K143" s="89"/>
      <c r="L143" s="89"/>
    </row>
    <row r="144" ht="18.0" customHeight="1">
      <c r="A144" s="89"/>
      <c r="B144" s="89"/>
      <c r="C144" s="89"/>
      <c r="D144" s="89"/>
      <c r="E144" s="90"/>
      <c r="G144" s="90"/>
      <c r="H144" s="89"/>
      <c r="I144" s="89"/>
      <c r="J144" s="89"/>
      <c r="K144" s="89"/>
      <c r="L144" s="89"/>
    </row>
    <row r="145" ht="18.0" customHeight="1">
      <c r="A145" s="89"/>
      <c r="B145" s="89"/>
      <c r="C145" s="89"/>
      <c r="D145" s="89"/>
      <c r="E145" s="90"/>
      <c r="G145" s="90"/>
      <c r="H145" s="89"/>
      <c r="I145" s="89"/>
      <c r="J145" s="89"/>
      <c r="K145" s="89"/>
      <c r="L145" s="89"/>
    </row>
    <row r="146" ht="18.0" customHeight="1">
      <c r="A146" s="89"/>
      <c r="B146" s="89"/>
      <c r="C146" s="89"/>
      <c r="D146" s="89"/>
      <c r="E146" s="90"/>
      <c r="G146" s="90"/>
      <c r="H146" s="89"/>
      <c r="I146" s="89"/>
      <c r="J146" s="89"/>
      <c r="K146" s="89"/>
      <c r="L146" s="89"/>
    </row>
    <row r="147" ht="18.0" customHeight="1">
      <c r="A147" s="89"/>
      <c r="B147" s="89"/>
      <c r="C147" s="89"/>
      <c r="D147" s="89"/>
      <c r="E147" s="90"/>
      <c r="G147" s="90"/>
      <c r="H147" s="89"/>
      <c r="I147" s="89"/>
      <c r="J147" s="89"/>
      <c r="K147" s="89"/>
      <c r="L147" s="89"/>
    </row>
    <row r="148" ht="18.0" customHeight="1">
      <c r="A148" s="89"/>
      <c r="B148" s="89"/>
      <c r="C148" s="89"/>
      <c r="D148" s="89"/>
      <c r="E148" s="90"/>
      <c r="G148" s="90"/>
      <c r="H148" s="89"/>
      <c r="I148" s="89"/>
      <c r="J148" s="89"/>
      <c r="K148" s="89"/>
      <c r="L148" s="89"/>
    </row>
    <row r="149" ht="18.0" customHeight="1">
      <c r="A149" s="89"/>
      <c r="B149" s="89"/>
      <c r="C149" s="89"/>
      <c r="D149" s="89"/>
      <c r="E149" s="90"/>
      <c r="G149" s="90"/>
      <c r="H149" s="89"/>
      <c r="I149" s="89"/>
      <c r="J149" s="89"/>
      <c r="K149" s="89"/>
      <c r="L149" s="89"/>
    </row>
    <row r="150" ht="18.0" customHeight="1">
      <c r="A150" s="89"/>
      <c r="B150" s="89"/>
      <c r="C150" s="89"/>
      <c r="D150" s="89"/>
      <c r="E150" s="90"/>
      <c r="G150" s="90"/>
      <c r="H150" s="89"/>
      <c r="I150" s="89"/>
      <c r="J150" s="89"/>
      <c r="K150" s="89"/>
      <c r="L150" s="89"/>
    </row>
    <row r="151" ht="18.0" customHeight="1">
      <c r="A151" s="89"/>
      <c r="B151" s="89"/>
      <c r="C151" s="89"/>
      <c r="D151" s="89"/>
      <c r="E151" s="90"/>
      <c r="G151" s="90"/>
      <c r="H151" s="89"/>
      <c r="I151" s="89"/>
      <c r="J151" s="89"/>
      <c r="K151" s="89"/>
      <c r="L151" s="89"/>
    </row>
    <row r="152" ht="18.0" customHeight="1">
      <c r="A152" s="89"/>
      <c r="B152" s="89"/>
      <c r="C152" s="89"/>
      <c r="D152" s="89"/>
      <c r="E152" s="90"/>
      <c r="G152" s="90"/>
      <c r="H152" s="89"/>
      <c r="I152" s="89"/>
      <c r="J152" s="89"/>
      <c r="K152" s="89"/>
      <c r="L152" s="89"/>
    </row>
    <row r="153" ht="18.0" customHeight="1">
      <c r="A153" s="89"/>
      <c r="B153" s="89"/>
      <c r="C153" s="89"/>
      <c r="D153" s="89"/>
      <c r="E153" s="90"/>
      <c r="G153" s="90"/>
      <c r="H153" s="89"/>
      <c r="I153" s="89"/>
      <c r="J153" s="89"/>
      <c r="K153" s="89"/>
      <c r="L153" s="89"/>
    </row>
    <row r="154" ht="18.0" customHeight="1">
      <c r="A154" s="89"/>
      <c r="B154" s="89"/>
      <c r="C154" s="89"/>
      <c r="D154" s="89"/>
      <c r="E154" s="90"/>
      <c r="G154" s="90"/>
      <c r="H154" s="89"/>
      <c r="I154" s="89"/>
      <c r="J154" s="89"/>
      <c r="K154" s="89"/>
      <c r="L154" s="89"/>
    </row>
    <row r="155" ht="18.0" customHeight="1">
      <c r="A155" s="89"/>
      <c r="B155" s="89"/>
      <c r="C155" s="89"/>
      <c r="D155" s="89"/>
      <c r="E155" s="90"/>
      <c r="G155" s="90"/>
      <c r="H155" s="89"/>
      <c r="I155" s="89"/>
      <c r="J155" s="89"/>
      <c r="K155" s="89"/>
      <c r="L155" s="89"/>
    </row>
    <row r="156" ht="18.0" customHeight="1">
      <c r="A156" s="89"/>
      <c r="B156" s="89"/>
      <c r="C156" s="89"/>
      <c r="D156" s="89"/>
      <c r="E156" s="90"/>
      <c r="G156" s="90"/>
      <c r="H156" s="89"/>
      <c r="I156" s="89"/>
      <c r="J156" s="89"/>
      <c r="K156" s="89"/>
      <c r="L156" s="89"/>
    </row>
    <row r="157" ht="18.0" customHeight="1">
      <c r="A157" s="89"/>
      <c r="B157" s="89"/>
      <c r="C157" s="89"/>
      <c r="D157" s="89"/>
      <c r="E157" s="90"/>
      <c r="G157" s="90"/>
      <c r="H157" s="89"/>
      <c r="I157" s="89"/>
      <c r="J157" s="89"/>
      <c r="K157" s="89"/>
      <c r="L157" s="89"/>
    </row>
    <row r="158" ht="18.0" customHeight="1">
      <c r="A158" s="89"/>
      <c r="B158" s="89"/>
      <c r="C158" s="89"/>
      <c r="D158" s="89"/>
      <c r="E158" s="90"/>
      <c r="G158" s="90"/>
      <c r="H158" s="89"/>
      <c r="I158" s="89"/>
      <c r="J158" s="89"/>
      <c r="K158" s="89"/>
      <c r="L158" s="89"/>
    </row>
    <row r="159" ht="18.0" customHeight="1">
      <c r="A159" s="89"/>
      <c r="B159" s="89"/>
      <c r="C159" s="89"/>
      <c r="D159" s="89"/>
      <c r="E159" s="90"/>
      <c r="G159" s="90"/>
      <c r="H159" s="89"/>
      <c r="I159" s="89"/>
      <c r="J159" s="89"/>
      <c r="K159" s="89"/>
      <c r="L159" s="89"/>
    </row>
    <row r="160" ht="18.0" customHeight="1">
      <c r="A160" s="89"/>
      <c r="B160" s="89"/>
      <c r="C160" s="89"/>
      <c r="D160" s="89"/>
      <c r="E160" s="90"/>
      <c r="G160" s="90"/>
      <c r="H160" s="89"/>
      <c r="I160" s="89"/>
      <c r="J160" s="89"/>
      <c r="K160" s="89"/>
      <c r="L160" s="89"/>
    </row>
    <row r="161" ht="18.0" customHeight="1">
      <c r="A161" s="89"/>
      <c r="B161" s="89"/>
      <c r="C161" s="89"/>
      <c r="D161" s="89"/>
      <c r="E161" s="90"/>
      <c r="G161" s="90"/>
      <c r="H161" s="89"/>
      <c r="I161" s="89"/>
      <c r="J161" s="89"/>
      <c r="K161" s="89"/>
      <c r="L161" s="89"/>
    </row>
    <row r="162" ht="18.0" customHeight="1">
      <c r="A162" s="89"/>
      <c r="B162" s="89"/>
      <c r="C162" s="89"/>
      <c r="D162" s="89"/>
      <c r="E162" s="90"/>
      <c r="G162" s="90"/>
      <c r="H162" s="89"/>
      <c r="I162" s="89"/>
      <c r="J162" s="89"/>
      <c r="K162" s="89"/>
      <c r="L162" s="89"/>
    </row>
    <row r="163" ht="18.0" customHeight="1">
      <c r="A163" s="89"/>
      <c r="B163" s="89"/>
      <c r="C163" s="89"/>
      <c r="D163" s="89"/>
      <c r="E163" s="90"/>
      <c r="G163" s="90"/>
      <c r="H163" s="89"/>
      <c r="I163" s="89"/>
      <c r="J163" s="89"/>
      <c r="K163" s="89"/>
      <c r="L163" s="89"/>
    </row>
    <row r="164" ht="18.0" customHeight="1">
      <c r="A164" s="89"/>
      <c r="B164" s="89"/>
      <c r="C164" s="89"/>
      <c r="D164" s="89"/>
      <c r="E164" s="90"/>
      <c r="G164" s="90"/>
      <c r="H164" s="89"/>
      <c r="I164" s="89"/>
      <c r="J164" s="89"/>
      <c r="K164" s="89"/>
      <c r="L164" s="89"/>
    </row>
    <row r="165" ht="18.0" customHeight="1">
      <c r="A165" s="89"/>
      <c r="B165" s="89"/>
      <c r="C165" s="89"/>
      <c r="D165" s="89"/>
      <c r="E165" s="90"/>
      <c r="G165" s="90"/>
      <c r="H165" s="89"/>
      <c r="I165" s="89"/>
      <c r="J165" s="89"/>
      <c r="K165" s="89"/>
      <c r="L165" s="89"/>
    </row>
    <row r="166" ht="18.0" customHeight="1">
      <c r="A166" s="89"/>
      <c r="B166" s="89"/>
      <c r="C166" s="89"/>
      <c r="D166" s="89"/>
      <c r="E166" s="90"/>
      <c r="G166" s="90"/>
      <c r="H166" s="89"/>
      <c r="I166" s="89"/>
      <c r="J166" s="89"/>
      <c r="K166" s="89"/>
      <c r="L166" s="89"/>
    </row>
    <row r="167" ht="18.0" customHeight="1">
      <c r="A167" s="89"/>
      <c r="B167" s="89"/>
      <c r="C167" s="89"/>
      <c r="D167" s="89"/>
      <c r="E167" s="90"/>
      <c r="G167" s="90"/>
      <c r="H167" s="89"/>
      <c r="I167" s="89"/>
      <c r="J167" s="89"/>
      <c r="K167" s="89"/>
      <c r="L167" s="89"/>
    </row>
    <row r="168" ht="18.0" customHeight="1">
      <c r="A168" s="89"/>
      <c r="B168" s="89"/>
      <c r="C168" s="89"/>
      <c r="D168" s="89"/>
      <c r="E168" s="90"/>
      <c r="G168" s="90"/>
      <c r="H168" s="89"/>
      <c r="I168" s="89"/>
      <c r="J168" s="89"/>
      <c r="K168" s="89"/>
      <c r="L168" s="89"/>
    </row>
    <row r="169" ht="18.0" customHeight="1">
      <c r="A169" s="89"/>
      <c r="B169" s="89"/>
      <c r="C169" s="89"/>
      <c r="D169" s="89"/>
      <c r="E169" s="90"/>
      <c r="G169" s="90"/>
      <c r="H169" s="89"/>
      <c r="I169" s="89"/>
      <c r="J169" s="89"/>
      <c r="K169" s="89"/>
      <c r="L169" s="89"/>
    </row>
    <row r="170" ht="18.0" customHeight="1">
      <c r="A170" s="89"/>
      <c r="B170" s="89"/>
      <c r="C170" s="89"/>
      <c r="D170" s="89"/>
      <c r="E170" s="90"/>
      <c r="G170" s="90"/>
      <c r="H170" s="89"/>
      <c r="I170" s="89"/>
      <c r="J170" s="89"/>
      <c r="K170" s="89"/>
      <c r="L170" s="89"/>
    </row>
    <row r="171" ht="18.0" customHeight="1">
      <c r="A171" s="89"/>
      <c r="B171" s="89"/>
      <c r="C171" s="89"/>
      <c r="D171" s="89"/>
      <c r="E171" s="90"/>
      <c r="G171" s="90"/>
      <c r="H171" s="89"/>
      <c r="I171" s="89"/>
      <c r="J171" s="89"/>
      <c r="K171" s="89"/>
      <c r="L171" s="89"/>
    </row>
    <row r="172" ht="18.0" customHeight="1">
      <c r="A172" s="89"/>
      <c r="B172" s="89"/>
      <c r="C172" s="89"/>
      <c r="D172" s="89"/>
      <c r="E172" s="90"/>
      <c r="G172" s="90"/>
      <c r="H172" s="89"/>
      <c r="I172" s="89"/>
      <c r="J172" s="89"/>
      <c r="K172" s="89"/>
      <c r="L172" s="89"/>
    </row>
    <row r="173" ht="18.0" customHeight="1">
      <c r="A173" s="89"/>
      <c r="B173" s="89"/>
      <c r="C173" s="89"/>
      <c r="D173" s="89"/>
      <c r="E173" s="90"/>
      <c r="G173" s="90"/>
      <c r="H173" s="89"/>
      <c r="I173" s="89"/>
      <c r="J173" s="89"/>
      <c r="K173" s="89"/>
      <c r="L173" s="89"/>
    </row>
    <row r="174" ht="18.0" customHeight="1">
      <c r="A174" s="89"/>
      <c r="B174" s="89"/>
      <c r="C174" s="89"/>
      <c r="D174" s="89"/>
      <c r="E174" s="90"/>
      <c r="G174" s="90"/>
      <c r="H174" s="89"/>
      <c r="I174" s="89"/>
      <c r="J174" s="89"/>
      <c r="K174" s="89"/>
      <c r="L174" s="89"/>
    </row>
    <row r="175" ht="18.0" customHeight="1">
      <c r="A175" s="89"/>
      <c r="B175" s="89"/>
      <c r="C175" s="89"/>
      <c r="D175" s="89"/>
      <c r="E175" s="90"/>
      <c r="G175" s="90"/>
      <c r="H175" s="89"/>
      <c r="I175" s="89"/>
      <c r="J175" s="89"/>
      <c r="K175" s="89"/>
      <c r="L175" s="89"/>
    </row>
    <row r="176" ht="18.0" customHeight="1">
      <c r="A176" s="89"/>
      <c r="B176" s="89"/>
      <c r="C176" s="89"/>
      <c r="D176" s="89"/>
      <c r="E176" s="90"/>
      <c r="G176" s="90"/>
      <c r="H176" s="89"/>
      <c r="I176" s="89"/>
      <c r="J176" s="89"/>
      <c r="K176" s="89"/>
      <c r="L176" s="89"/>
    </row>
    <row r="177" ht="18.0" customHeight="1">
      <c r="A177" s="89"/>
      <c r="B177" s="89"/>
      <c r="C177" s="89"/>
      <c r="D177" s="89"/>
      <c r="E177" s="90"/>
      <c r="G177" s="90"/>
      <c r="H177" s="89"/>
      <c r="I177" s="89"/>
      <c r="J177" s="89"/>
      <c r="K177" s="89"/>
      <c r="L177" s="89"/>
    </row>
    <row r="178" ht="18.0" customHeight="1">
      <c r="A178" s="89"/>
      <c r="B178" s="89"/>
      <c r="C178" s="89"/>
      <c r="D178" s="89"/>
      <c r="E178" s="90"/>
      <c r="G178" s="90"/>
      <c r="H178" s="89"/>
      <c r="I178" s="89"/>
      <c r="J178" s="89"/>
      <c r="K178" s="89"/>
      <c r="L178" s="89"/>
    </row>
    <row r="179" ht="18.0" customHeight="1">
      <c r="A179" s="89"/>
      <c r="B179" s="89"/>
      <c r="C179" s="89"/>
      <c r="D179" s="89"/>
      <c r="E179" s="90"/>
      <c r="G179" s="90"/>
      <c r="H179" s="89"/>
      <c r="I179" s="89"/>
      <c r="J179" s="89"/>
      <c r="K179" s="89"/>
      <c r="L179" s="89"/>
    </row>
    <row r="180" ht="18.0" customHeight="1">
      <c r="A180" s="89"/>
      <c r="B180" s="89"/>
      <c r="C180" s="89"/>
      <c r="D180" s="89"/>
      <c r="E180" s="90"/>
      <c r="G180" s="90"/>
      <c r="H180" s="89"/>
      <c r="I180" s="89"/>
      <c r="J180" s="89"/>
      <c r="K180" s="89"/>
      <c r="L180" s="89"/>
    </row>
    <row r="181" ht="18.0" customHeight="1">
      <c r="A181" s="89"/>
      <c r="B181" s="89"/>
      <c r="C181" s="89"/>
      <c r="D181" s="89"/>
      <c r="E181" s="90"/>
      <c r="G181" s="90"/>
      <c r="H181" s="89"/>
      <c r="I181" s="89"/>
      <c r="J181" s="89"/>
      <c r="K181" s="89"/>
      <c r="L181" s="89"/>
    </row>
    <row r="182" ht="18.0" customHeight="1">
      <c r="A182" s="89"/>
      <c r="B182" s="89"/>
      <c r="C182" s="89"/>
      <c r="D182" s="89"/>
      <c r="E182" s="90"/>
      <c r="G182" s="90"/>
      <c r="H182" s="89"/>
      <c r="I182" s="89"/>
      <c r="J182" s="89"/>
      <c r="K182" s="89"/>
      <c r="L182" s="89"/>
    </row>
    <row r="183" ht="18.0" customHeight="1">
      <c r="A183" s="89"/>
      <c r="B183" s="89"/>
      <c r="C183" s="89"/>
      <c r="D183" s="89"/>
      <c r="E183" s="90"/>
      <c r="G183" s="90"/>
      <c r="H183" s="89"/>
      <c r="I183" s="89"/>
      <c r="J183" s="89"/>
      <c r="K183" s="89"/>
      <c r="L183" s="89"/>
    </row>
    <row r="184" ht="18.0" customHeight="1">
      <c r="A184" s="89"/>
      <c r="B184" s="89"/>
      <c r="C184" s="89"/>
      <c r="D184" s="89"/>
      <c r="E184" s="90"/>
      <c r="G184" s="90"/>
      <c r="H184" s="89"/>
      <c r="I184" s="89"/>
      <c r="J184" s="89"/>
      <c r="K184" s="89"/>
      <c r="L184" s="89"/>
    </row>
    <row r="185" ht="18.0" customHeight="1">
      <c r="A185" s="89"/>
      <c r="B185" s="89"/>
      <c r="C185" s="89"/>
      <c r="D185" s="89"/>
      <c r="E185" s="90"/>
      <c r="G185" s="90"/>
      <c r="H185" s="89"/>
      <c r="I185" s="89"/>
      <c r="J185" s="89"/>
      <c r="K185" s="89"/>
      <c r="L185" s="89"/>
    </row>
    <row r="186" ht="18.0" customHeight="1">
      <c r="A186" s="89"/>
      <c r="B186" s="89"/>
      <c r="C186" s="89"/>
      <c r="D186" s="89"/>
      <c r="E186" s="90"/>
      <c r="G186" s="90"/>
      <c r="H186" s="89"/>
      <c r="I186" s="89"/>
      <c r="J186" s="89"/>
      <c r="K186" s="89"/>
      <c r="L186" s="89"/>
    </row>
    <row r="187" ht="18.0" customHeight="1">
      <c r="A187" s="89"/>
      <c r="B187" s="89"/>
      <c r="C187" s="89"/>
      <c r="D187" s="89"/>
      <c r="E187" s="90"/>
      <c r="G187" s="90"/>
      <c r="H187" s="89"/>
      <c r="I187" s="89"/>
      <c r="J187" s="89"/>
      <c r="K187" s="89"/>
      <c r="L187" s="89"/>
    </row>
    <row r="188" ht="18.0" customHeight="1">
      <c r="A188" s="89"/>
      <c r="B188" s="89"/>
      <c r="C188" s="89"/>
      <c r="D188" s="89"/>
      <c r="E188" s="90"/>
      <c r="G188" s="90"/>
      <c r="H188" s="89"/>
      <c r="I188" s="89"/>
      <c r="J188" s="89"/>
      <c r="K188" s="89"/>
      <c r="L188" s="89"/>
    </row>
    <row r="189" ht="18.0" customHeight="1">
      <c r="A189" s="89"/>
      <c r="B189" s="89"/>
      <c r="C189" s="89"/>
      <c r="D189" s="89"/>
      <c r="E189" s="90"/>
      <c r="G189" s="90"/>
      <c r="H189" s="89"/>
      <c r="I189" s="89"/>
      <c r="J189" s="89"/>
      <c r="K189" s="89"/>
      <c r="L189" s="89"/>
    </row>
    <row r="190" ht="18.0" customHeight="1">
      <c r="A190" s="89"/>
      <c r="B190" s="89"/>
      <c r="C190" s="89"/>
      <c r="D190" s="89"/>
      <c r="E190" s="90"/>
      <c r="G190" s="90"/>
      <c r="H190" s="89"/>
      <c r="I190" s="89"/>
      <c r="J190" s="89"/>
      <c r="K190" s="89"/>
      <c r="L190" s="89"/>
    </row>
    <row r="191" ht="18.0" customHeight="1">
      <c r="A191" s="89"/>
      <c r="B191" s="89"/>
      <c r="C191" s="89"/>
      <c r="D191" s="89"/>
      <c r="E191" s="90"/>
      <c r="G191" s="90"/>
      <c r="H191" s="89"/>
      <c r="I191" s="89"/>
      <c r="J191" s="89"/>
      <c r="K191" s="89"/>
      <c r="L191" s="89"/>
    </row>
    <row r="192" ht="18.0" customHeight="1">
      <c r="A192" s="89"/>
      <c r="B192" s="89"/>
      <c r="C192" s="89"/>
      <c r="D192" s="89"/>
      <c r="E192" s="90"/>
      <c r="G192" s="90"/>
      <c r="H192" s="89"/>
      <c r="I192" s="89"/>
      <c r="J192" s="89"/>
      <c r="K192" s="89"/>
      <c r="L192" s="89"/>
    </row>
    <row r="193" ht="18.0" customHeight="1">
      <c r="A193" s="89"/>
      <c r="B193" s="89"/>
      <c r="C193" s="89"/>
      <c r="D193" s="89"/>
      <c r="E193" s="90"/>
      <c r="G193" s="90"/>
      <c r="H193" s="89"/>
      <c r="I193" s="89"/>
      <c r="J193" s="89"/>
      <c r="K193" s="89"/>
      <c r="L193" s="89"/>
    </row>
    <row r="194" ht="18.0" customHeight="1">
      <c r="A194" s="89"/>
      <c r="B194" s="89"/>
      <c r="C194" s="89"/>
      <c r="D194" s="89"/>
      <c r="E194" s="90"/>
      <c r="G194" s="90"/>
      <c r="H194" s="89"/>
      <c r="I194" s="89"/>
      <c r="J194" s="89"/>
      <c r="K194" s="89"/>
      <c r="L194" s="89"/>
    </row>
    <row r="195" ht="18.0" customHeight="1">
      <c r="A195" s="89"/>
      <c r="B195" s="89"/>
      <c r="C195" s="89"/>
      <c r="D195" s="89"/>
      <c r="E195" s="90"/>
      <c r="G195" s="90"/>
      <c r="H195" s="89"/>
      <c r="I195" s="89"/>
      <c r="J195" s="89"/>
      <c r="K195" s="89"/>
      <c r="L195" s="89"/>
    </row>
    <row r="196" ht="18.0" customHeight="1">
      <c r="A196" s="89"/>
      <c r="B196" s="89"/>
      <c r="C196" s="89"/>
      <c r="D196" s="89"/>
      <c r="E196" s="90"/>
      <c r="G196" s="90"/>
      <c r="H196" s="89"/>
      <c r="I196" s="89"/>
      <c r="J196" s="89"/>
      <c r="K196" s="89"/>
      <c r="L196" s="89"/>
    </row>
    <row r="197" ht="18.0" customHeight="1">
      <c r="A197" s="89"/>
      <c r="B197" s="89"/>
      <c r="C197" s="89"/>
      <c r="D197" s="89"/>
      <c r="E197" s="90"/>
      <c r="G197" s="90"/>
      <c r="H197" s="89"/>
      <c r="I197" s="89"/>
      <c r="J197" s="89"/>
      <c r="K197" s="89"/>
      <c r="L197" s="89"/>
    </row>
    <row r="198" ht="18.0" customHeight="1">
      <c r="A198" s="89"/>
      <c r="B198" s="89"/>
      <c r="C198" s="89"/>
      <c r="D198" s="89"/>
      <c r="E198" s="90"/>
      <c r="G198" s="90"/>
      <c r="H198" s="89"/>
      <c r="I198" s="89"/>
      <c r="J198" s="89"/>
      <c r="K198" s="89"/>
      <c r="L198" s="89"/>
    </row>
    <row r="199" ht="18.0" customHeight="1">
      <c r="A199" s="89"/>
      <c r="B199" s="89"/>
      <c r="C199" s="89"/>
      <c r="D199" s="89"/>
      <c r="E199" s="90"/>
      <c r="G199" s="90"/>
      <c r="H199" s="89"/>
      <c r="I199" s="89"/>
      <c r="J199" s="89"/>
      <c r="K199" s="89"/>
      <c r="L199" s="89"/>
    </row>
    <row r="200" ht="18.0" customHeight="1">
      <c r="A200" s="89"/>
      <c r="B200" s="89"/>
      <c r="C200" s="89"/>
      <c r="D200" s="89"/>
      <c r="E200" s="90"/>
      <c r="G200" s="90"/>
      <c r="H200" s="89"/>
      <c r="I200" s="89"/>
      <c r="J200" s="89"/>
      <c r="K200" s="89"/>
      <c r="L200" s="89"/>
    </row>
    <row r="201" ht="18.0" customHeight="1">
      <c r="A201" s="89"/>
      <c r="B201" s="89"/>
      <c r="C201" s="89"/>
      <c r="D201" s="89"/>
      <c r="E201" s="90"/>
      <c r="G201" s="90"/>
      <c r="H201" s="89"/>
      <c r="I201" s="89"/>
      <c r="J201" s="89"/>
      <c r="K201" s="89"/>
      <c r="L201" s="89"/>
    </row>
    <row r="202" ht="18.0" customHeight="1">
      <c r="A202" s="89"/>
      <c r="B202" s="89"/>
      <c r="C202" s="89"/>
      <c r="D202" s="89"/>
      <c r="E202" s="90"/>
      <c r="G202" s="90"/>
      <c r="H202" s="89"/>
      <c r="I202" s="89"/>
      <c r="J202" s="89"/>
      <c r="K202" s="89"/>
      <c r="L202" s="89"/>
    </row>
    <row r="203" ht="18.0" customHeight="1">
      <c r="A203" s="89"/>
      <c r="B203" s="89"/>
      <c r="C203" s="89"/>
      <c r="D203" s="89"/>
      <c r="E203" s="90"/>
      <c r="G203" s="90"/>
      <c r="H203" s="89"/>
      <c r="I203" s="89"/>
      <c r="J203" s="89"/>
      <c r="K203" s="89"/>
      <c r="L203" s="89"/>
    </row>
    <row r="204" ht="18.0" customHeight="1">
      <c r="A204" s="89"/>
      <c r="B204" s="89"/>
      <c r="C204" s="89"/>
      <c r="D204" s="89"/>
      <c r="E204" s="90"/>
      <c r="G204" s="90"/>
      <c r="H204" s="89"/>
      <c r="I204" s="89"/>
      <c r="J204" s="89"/>
      <c r="K204" s="89"/>
      <c r="L204" s="89"/>
    </row>
    <row r="205" ht="18.0" customHeight="1">
      <c r="A205" s="89"/>
      <c r="B205" s="89"/>
      <c r="C205" s="89"/>
      <c r="D205" s="89"/>
      <c r="E205" s="90"/>
      <c r="G205" s="90"/>
      <c r="H205" s="89"/>
      <c r="I205" s="89"/>
      <c r="J205" s="89"/>
      <c r="K205" s="89"/>
      <c r="L205" s="89"/>
    </row>
    <row r="206" ht="18.0" customHeight="1">
      <c r="A206" s="89"/>
      <c r="B206" s="89"/>
      <c r="C206" s="89"/>
      <c r="D206" s="89"/>
      <c r="E206" s="90"/>
      <c r="G206" s="90"/>
      <c r="H206" s="89"/>
      <c r="I206" s="89"/>
      <c r="J206" s="89"/>
      <c r="K206" s="89"/>
      <c r="L206" s="89"/>
    </row>
    <row r="207" ht="18.0" customHeight="1">
      <c r="A207" s="89"/>
      <c r="B207" s="89"/>
      <c r="C207" s="89"/>
      <c r="D207" s="89"/>
      <c r="E207" s="90"/>
      <c r="G207" s="90"/>
      <c r="H207" s="89"/>
      <c r="I207" s="89"/>
      <c r="J207" s="89"/>
      <c r="K207" s="89"/>
      <c r="L207" s="89"/>
    </row>
    <row r="208" ht="18.0" customHeight="1">
      <c r="A208" s="89"/>
      <c r="B208" s="89"/>
      <c r="C208" s="89"/>
      <c r="D208" s="89"/>
      <c r="E208" s="90"/>
      <c r="G208" s="90"/>
      <c r="H208" s="89"/>
      <c r="I208" s="89"/>
      <c r="J208" s="89"/>
      <c r="K208" s="89"/>
      <c r="L208" s="89"/>
    </row>
    <row r="209" ht="18.0" customHeight="1">
      <c r="A209" s="89"/>
      <c r="B209" s="89"/>
      <c r="C209" s="89"/>
      <c r="D209" s="89"/>
      <c r="E209" s="90"/>
      <c r="G209" s="90"/>
      <c r="H209" s="89"/>
      <c r="I209" s="89"/>
      <c r="J209" s="89"/>
      <c r="K209" s="89"/>
      <c r="L209" s="89"/>
    </row>
    <row r="210" ht="18.0" customHeight="1">
      <c r="A210" s="89"/>
      <c r="B210" s="89"/>
      <c r="C210" s="89"/>
      <c r="D210" s="89"/>
      <c r="E210" s="90"/>
      <c r="G210" s="90"/>
      <c r="H210" s="89"/>
      <c r="I210" s="89"/>
      <c r="J210" s="89"/>
      <c r="K210" s="89"/>
      <c r="L210" s="89"/>
    </row>
    <row r="211" ht="18.0" customHeight="1">
      <c r="A211" s="89"/>
      <c r="B211" s="89"/>
      <c r="C211" s="89"/>
      <c r="D211" s="89"/>
      <c r="E211" s="90"/>
      <c r="G211" s="90"/>
      <c r="H211" s="89"/>
      <c r="I211" s="89"/>
      <c r="J211" s="89"/>
      <c r="K211" s="89"/>
      <c r="L211" s="89"/>
    </row>
    <row r="212" ht="18.0" customHeight="1">
      <c r="A212" s="89"/>
      <c r="B212" s="89"/>
      <c r="C212" s="89"/>
      <c r="D212" s="89"/>
      <c r="E212" s="90"/>
      <c r="G212" s="90"/>
      <c r="H212" s="89"/>
      <c r="I212" s="89"/>
      <c r="J212" s="89"/>
      <c r="K212" s="89"/>
      <c r="L212" s="89"/>
    </row>
    <row r="213" ht="18.0" customHeight="1">
      <c r="A213" s="89"/>
      <c r="B213" s="89"/>
      <c r="C213" s="89"/>
      <c r="D213" s="89"/>
      <c r="E213" s="90"/>
      <c r="G213" s="90"/>
      <c r="H213" s="89"/>
      <c r="I213" s="89"/>
      <c r="J213" s="89"/>
      <c r="K213" s="89"/>
      <c r="L213" s="89"/>
    </row>
    <row r="214" ht="18.0" customHeight="1">
      <c r="A214" s="89"/>
      <c r="B214" s="89"/>
      <c r="C214" s="89"/>
      <c r="D214" s="89"/>
      <c r="E214" s="90"/>
      <c r="G214" s="90"/>
      <c r="H214" s="89"/>
      <c r="I214" s="89"/>
      <c r="J214" s="89"/>
      <c r="K214" s="89"/>
      <c r="L214" s="89"/>
    </row>
    <row r="215" ht="18.0" customHeight="1">
      <c r="A215" s="89"/>
      <c r="B215" s="89"/>
      <c r="C215" s="89"/>
      <c r="D215" s="89"/>
      <c r="E215" s="90"/>
      <c r="G215" s="90"/>
      <c r="H215" s="89"/>
      <c r="I215" s="89"/>
      <c r="J215" s="89"/>
      <c r="K215" s="89"/>
      <c r="L215" s="89"/>
    </row>
    <row r="216" ht="18.0" customHeight="1">
      <c r="A216" s="89"/>
      <c r="B216" s="89"/>
      <c r="C216" s="89"/>
      <c r="D216" s="89"/>
      <c r="E216" s="90"/>
      <c r="G216" s="90"/>
      <c r="H216" s="89"/>
      <c r="I216" s="89"/>
      <c r="J216" s="89"/>
      <c r="K216" s="89"/>
      <c r="L216" s="89"/>
    </row>
    <row r="217" ht="18.0" customHeight="1">
      <c r="A217" s="89"/>
      <c r="B217" s="89"/>
      <c r="C217" s="89"/>
      <c r="D217" s="89"/>
      <c r="E217" s="90"/>
      <c r="G217" s="90"/>
      <c r="H217" s="89"/>
      <c r="I217" s="89"/>
      <c r="J217" s="89"/>
      <c r="K217" s="89"/>
      <c r="L217" s="89"/>
    </row>
    <row r="218" ht="18.0" customHeight="1">
      <c r="A218" s="89"/>
      <c r="B218" s="89"/>
      <c r="C218" s="89"/>
      <c r="D218" s="89"/>
      <c r="E218" s="90"/>
      <c r="G218" s="90"/>
      <c r="H218" s="89"/>
      <c r="I218" s="89"/>
      <c r="J218" s="89"/>
      <c r="K218" s="89"/>
      <c r="L218" s="89"/>
    </row>
    <row r="219" ht="18.0" customHeight="1">
      <c r="A219" s="89"/>
      <c r="B219" s="89"/>
      <c r="C219" s="89"/>
      <c r="D219" s="89"/>
      <c r="E219" s="90"/>
      <c r="G219" s="90"/>
      <c r="H219" s="89"/>
      <c r="I219" s="89"/>
      <c r="J219" s="89"/>
      <c r="K219" s="89"/>
      <c r="L219" s="89"/>
    </row>
    <row r="220" ht="18.0" customHeight="1">
      <c r="A220" s="89"/>
      <c r="B220" s="89"/>
      <c r="C220" s="89"/>
      <c r="D220" s="89"/>
      <c r="E220" s="90"/>
      <c r="G220" s="90"/>
      <c r="H220" s="89"/>
      <c r="I220" s="89"/>
      <c r="J220" s="89"/>
      <c r="K220" s="89"/>
      <c r="L220" s="89"/>
    </row>
    <row r="221" ht="18.0" customHeight="1">
      <c r="A221" s="89"/>
      <c r="B221" s="89"/>
      <c r="C221" s="89"/>
      <c r="D221" s="89"/>
      <c r="E221" s="90"/>
      <c r="G221" s="90"/>
      <c r="H221" s="89"/>
      <c r="I221" s="89"/>
      <c r="J221" s="89"/>
      <c r="K221" s="89"/>
      <c r="L221" s="89"/>
    </row>
    <row r="222" ht="18.0" customHeight="1">
      <c r="A222" s="89"/>
      <c r="B222" s="89"/>
      <c r="C222" s="89"/>
      <c r="D222" s="89"/>
      <c r="E222" s="90"/>
      <c r="G222" s="90"/>
      <c r="H222" s="89"/>
      <c r="I222" s="89"/>
      <c r="J222" s="89"/>
      <c r="K222" s="89"/>
      <c r="L222" s="89"/>
    </row>
    <row r="223" ht="18.0" customHeight="1">
      <c r="A223" s="89"/>
      <c r="B223" s="89"/>
      <c r="C223" s="89"/>
      <c r="D223" s="89"/>
      <c r="E223" s="90"/>
      <c r="G223" s="90"/>
      <c r="H223" s="89"/>
      <c r="I223" s="89"/>
      <c r="J223" s="89"/>
      <c r="K223" s="89"/>
      <c r="L223" s="89"/>
    </row>
    <row r="224" ht="18.0" customHeight="1">
      <c r="A224" s="89"/>
      <c r="B224" s="89"/>
      <c r="C224" s="89"/>
      <c r="D224" s="89"/>
      <c r="E224" s="90"/>
      <c r="G224" s="90"/>
      <c r="H224" s="89"/>
      <c r="I224" s="89"/>
      <c r="J224" s="89"/>
      <c r="K224" s="89"/>
      <c r="L224" s="89"/>
    </row>
    <row r="225" ht="18.0" customHeight="1">
      <c r="A225" s="89"/>
      <c r="B225" s="89"/>
      <c r="C225" s="89"/>
      <c r="D225" s="89"/>
      <c r="E225" s="90"/>
      <c r="G225" s="90"/>
      <c r="H225" s="89"/>
      <c r="I225" s="89"/>
      <c r="J225" s="89"/>
      <c r="K225" s="89"/>
      <c r="L225" s="89"/>
    </row>
    <row r="226" ht="18.0" customHeight="1">
      <c r="A226" s="89"/>
      <c r="B226" s="89"/>
      <c r="C226" s="89"/>
      <c r="D226" s="89"/>
      <c r="E226" s="90"/>
      <c r="G226" s="90"/>
      <c r="H226" s="89"/>
      <c r="I226" s="89"/>
      <c r="J226" s="89"/>
      <c r="K226" s="89"/>
      <c r="L226" s="89"/>
    </row>
    <row r="227" ht="18.0" customHeight="1">
      <c r="A227" s="89"/>
      <c r="B227" s="89"/>
      <c r="C227" s="89"/>
      <c r="D227" s="89"/>
      <c r="E227" s="90"/>
      <c r="G227" s="90"/>
      <c r="H227" s="89"/>
      <c r="I227" s="89"/>
      <c r="J227" s="89"/>
      <c r="K227" s="89"/>
      <c r="L227" s="89"/>
    </row>
    <row r="228" ht="18.0" customHeight="1">
      <c r="A228" s="89"/>
      <c r="B228" s="89"/>
      <c r="C228" s="89"/>
      <c r="D228" s="89"/>
      <c r="E228" s="90"/>
      <c r="G228" s="90"/>
      <c r="H228" s="89"/>
      <c r="I228" s="89"/>
      <c r="J228" s="89"/>
      <c r="K228" s="89"/>
      <c r="L228" s="89"/>
    </row>
    <row r="229" ht="18.0" customHeight="1">
      <c r="A229" s="89"/>
      <c r="B229" s="89"/>
      <c r="C229" s="89"/>
      <c r="D229" s="89"/>
      <c r="E229" s="90"/>
      <c r="G229" s="90"/>
      <c r="H229" s="89"/>
      <c r="I229" s="89"/>
      <c r="J229" s="89"/>
      <c r="K229" s="89"/>
      <c r="L229" s="89"/>
    </row>
    <row r="230" ht="18.0" customHeight="1">
      <c r="A230" s="89"/>
      <c r="B230" s="89"/>
      <c r="C230" s="89"/>
      <c r="D230" s="89"/>
      <c r="E230" s="90"/>
      <c r="G230" s="90"/>
      <c r="H230" s="89"/>
      <c r="I230" s="89"/>
      <c r="J230" s="89"/>
      <c r="K230" s="89"/>
      <c r="L230" s="89"/>
    </row>
    <row r="231" ht="18.0" customHeight="1">
      <c r="A231" s="89"/>
      <c r="B231" s="89"/>
      <c r="C231" s="89"/>
      <c r="D231" s="89"/>
      <c r="E231" s="90"/>
      <c r="G231" s="90"/>
      <c r="H231" s="89"/>
      <c r="I231" s="89"/>
      <c r="J231" s="89"/>
      <c r="K231" s="89"/>
      <c r="L231" s="89"/>
    </row>
    <row r="232" ht="18.0" customHeight="1">
      <c r="A232" s="89"/>
      <c r="B232" s="89"/>
      <c r="C232" s="89"/>
      <c r="D232" s="89"/>
      <c r="E232" s="90"/>
      <c r="G232" s="90"/>
      <c r="H232" s="89"/>
      <c r="I232" s="89"/>
      <c r="J232" s="89"/>
      <c r="K232" s="89"/>
      <c r="L232" s="89"/>
    </row>
    <row r="233" ht="18.0" customHeight="1">
      <c r="A233" s="89"/>
      <c r="B233" s="89"/>
      <c r="C233" s="89"/>
      <c r="D233" s="89"/>
      <c r="E233" s="90"/>
      <c r="G233" s="90"/>
      <c r="H233" s="89"/>
      <c r="I233" s="89"/>
      <c r="J233" s="89"/>
      <c r="K233" s="89"/>
      <c r="L233" s="89"/>
    </row>
    <row r="234" ht="18.0" customHeight="1">
      <c r="A234" s="89"/>
      <c r="B234" s="89"/>
      <c r="C234" s="89"/>
      <c r="D234" s="89"/>
      <c r="E234" s="90"/>
      <c r="G234" s="90"/>
      <c r="H234" s="89"/>
      <c r="I234" s="89"/>
      <c r="J234" s="89"/>
      <c r="K234" s="89"/>
      <c r="L234" s="89"/>
    </row>
    <row r="235" ht="18.0" customHeight="1">
      <c r="A235" s="89"/>
      <c r="B235" s="89"/>
      <c r="C235" s="89"/>
      <c r="D235" s="89"/>
      <c r="E235" s="90"/>
      <c r="G235" s="90"/>
      <c r="H235" s="89"/>
      <c r="I235" s="89"/>
      <c r="J235" s="89"/>
      <c r="K235" s="89"/>
      <c r="L235" s="89"/>
    </row>
    <row r="236" ht="18.0" customHeight="1">
      <c r="A236" s="89"/>
      <c r="B236" s="89"/>
      <c r="C236" s="89"/>
      <c r="D236" s="89"/>
      <c r="E236" s="90"/>
      <c r="G236" s="90"/>
      <c r="H236" s="89"/>
      <c r="I236" s="89"/>
      <c r="J236" s="89"/>
      <c r="K236" s="89"/>
      <c r="L236" s="89"/>
    </row>
    <row r="237" ht="18.0" customHeight="1">
      <c r="A237" s="89"/>
      <c r="B237" s="89"/>
      <c r="C237" s="89"/>
      <c r="D237" s="89"/>
      <c r="E237" s="90"/>
      <c r="G237" s="90"/>
      <c r="H237" s="89"/>
      <c r="I237" s="89"/>
      <c r="J237" s="89"/>
      <c r="K237" s="89"/>
      <c r="L237" s="89"/>
    </row>
    <row r="238" ht="18.0" customHeight="1">
      <c r="A238" s="89"/>
      <c r="B238" s="89"/>
      <c r="C238" s="89"/>
      <c r="D238" s="89"/>
      <c r="E238" s="90"/>
      <c r="G238" s="90"/>
      <c r="H238" s="89"/>
      <c r="I238" s="89"/>
      <c r="J238" s="89"/>
      <c r="K238" s="89"/>
      <c r="L238" s="89"/>
    </row>
    <row r="239" ht="18.0" customHeight="1">
      <c r="A239" s="89"/>
      <c r="B239" s="89"/>
      <c r="C239" s="89"/>
      <c r="D239" s="89"/>
      <c r="E239" s="90"/>
      <c r="G239" s="90"/>
      <c r="H239" s="89"/>
      <c r="I239" s="89"/>
      <c r="J239" s="89"/>
      <c r="K239" s="89"/>
      <c r="L239" s="89"/>
    </row>
    <row r="240" ht="18.0" customHeight="1">
      <c r="A240" s="89"/>
      <c r="B240" s="89"/>
      <c r="C240" s="89"/>
      <c r="D240" s="89"/>
      <c r="E240" s="90"/>
      <c r="G240" s="90"/>
      <c r="H240" s="89"/>
      <c r="I240" s="89"/>
      <c r="J240" s="89"/>
      <c r="K240" s="89"/>
      <c r="L240" s="89"/>
    </row>
    <row r="241" ht="18.0" customHeight="1">
      <c r="A241" s="89"/>
      <c r="B241" s="89"/>
      <c r="C241" s="89"/>
      <c r="D241" s="89"/>
      <c r="E241" s="90"/>
      <c r="G241" s="90"/>
      <c r="H241" s="89"/>
      <c r="I241" s="89"/>
      <c r="J241" s="89"/>
      <c r="K241" s="89"/>
      <c r="L241" s="89"/>
    </row>
    <row r="242" ht="18.0" customHeight="1">
      <c r="A242" s="89"/>
      <c r="B242" s="89"/>
      <c r="C242" s="89"/>
      <c r="D242" s="89"/>
      <c r="E242" s="90"/>
      <c r="G242" s="90"/>
      <c r="H242" s="89"/>
      <c r="I242" s="89"/>
      <c r="J242" s="89"/>
      <c r="K242" s="89"/>
      <c r="L242" s="89"/>
    </row>
    <row r="243" ht="18.0" customHeight="1">
      <c r="A243" s="89"/>
      <c r="B243" s="89"/>
      <c r="C243" s="89"/>
      <c r="D243" s="89"/>
      <c r="E243" s="90"/>
      <c r="G243" s="90"/>
      <c r="H243" s="89"/>
      <c r="I243" s="89"/>
      <c r="J243" s="89"/>
      <c r="K243" s="89"/>
      <c r="L243" s="89"/>
    </row>
    <row r="244" ht="18.0" customHeight="1">
      <c r="A244" s="89"/>
      <c r="B244" s="89"/>
      <c r="C244" s="89"/>
      <c r="D244" s="89"/>
      <c r="E244" s="90"/>
      <c r="G244" s="90"/>
      <c r="H244" s="89"/>
      <c r="I244" s="89"/>
      <c r="J244" s="89"/>
      <c r="K244" s="89"/>
      <c r="L244" s="89"/>
    </row>
    <row r="245" ht="18.0" customHeight="1">
      <c r="A245" s="89"/>
      <c r="B245" s="89"/>
      <c r="C245" s="89"/>
      <c r="D245" s="89"/>
      <c r="E245" s="90"/>
      <c r="G245" s="90"/>
      <c r="H245" s="89"/>
      <c r="I245" s="89"/>
      <c r="J245" s="89"/>
      <c r="K245" s="89"/>
      <c r="L245" s="89"/>
    </row>
    <row r="246" ht="18.0" customHeight="1">
      <c r="A246" s="89"/>
      <c r="B246" s="89"/>
      <c r="C246" s="89"/>
      <c r="D246" s="89"/>
      <c r="E246" s="90"/>
      <c r="G246" s="90"/>
      <c r="H246" s="89"/>
      <c r="I246" s="89"/>
      <c r="J246" s="89"/>
      <c r="K246" s="89"/>
      <c r="L246" s="89"/>
    </row>
    <row r="247" ht="18.0" customHeight="1">
      <c r="A247" s="89"/>
      <c r="B247" s="89"/>
      <c r="C247" s="89"/>
      <c r="D247" s="89"/>
      <c r="E247" s="90"/>
      <c r="G247" s="90"/>
      <c r="H247" s="89"/>
      <c r="I247" s="89"/>
      <c r="J247" s="89"/>
      <c r="K247" s="89"/>
      <c r="L247" s="89"/>
    </row>
    <row r="248" ht="18.0" customHeight="1">
      <c r="A248" s="89"/>
      <c r="B248" s="89"/>
      <c r="C248" s="89"/>
      <c r="D248" s="89"/>
      <c r="E248" s="90"/>
      <c r="G248" s="90"/>
      <c r="H248" s="89"/>
      <c r="I248" s="89"/>
      <c r="J248" s="89"/>
      <c r="K248" s="89"/>
      <c r="L248" s="89"/>
    </row>
    <row r="249" ht="18.0" customHeight="1">
      <c r="A249" s="89"/>
      <c r="B249" s="89"/>
      <c r="C249" s="89"/>
      <c r="D249" s="89"/>
      <c r="E249" s="90"/>
      <c r="G249" s="90"/>
      <c r="H249" s="89"/>
      <c r="I249" s="89"/>
      <c r="J249" s="89"/>
      <c r="K249" s="89"/>
      <c r="L249" s="89"/>
    </row>
    <row r="250" ht="18.0" customHeight="1">
      <c r="A250" s="89"/>
      <c r="B250" s="89"/>
      <c r="C250" s="89"/>
      <c r="D250" s="89"/>
      <c r="E250" s="90"/>
      <c r="G250" s="90"/>
      <c r="H250" s="89"/>
      <c r="I250" s="89"/>
      <c r="J250" s="89"/>
      <c r="K250" s="89"/>
      <c r="L250" s="89"/>
    </row>
    <row r="251" ht="18.0" customHeight="1">
      <c r="A251" s="89"/>
      <c r="B251" s="89"/>
      <c r="C251" s="89"/>
      <c r="D251" s="89"/>
      <c r="E251" s="90"/>
      <c r="G251" s="90"/>
      <c r="H251" s="89"/>
      <c r="I251" s="89"/>
      <c r="J251" s="89"/>
      <c r="K251" s="89"/>
      <c r="L251" s="89"/>
    </row>
    <row r="252" ht="18.0" customHeight="1">
      <c r="A252" s="89"/>
      <c r="B252" s="89"/>
      <c r="C252" s="89"/>
      <c r="D252" s="89"/>
      <c r="E252" s="90"/>
      <c r="G252" s="90"/>
      <c r="H252" s="89"/>
      <c r="I252" s="89"/>
      <c r="J252" s="89"/>
      <c r="K252" s="89"/>
      <c r="L252" s="89"/>
    </row>
    <row r="253" ht="18.0" customHeight="1">
      <c r="A253" s="89"/>
      <c r="B253" s="89"/>
      <c r="C253" s="89"/>
      <c r="D253" s="89"/>
      <c r="E253" s="90"/>
      <c r="G253" s="90"/>
      <c r="H253" s="89"/>
      <c r="I253" s="89"/>
      <c r="J253" s="89"/>
      <c r="K253" s="89"/>
      <c r="L253" s="89"/>
    </row>
    <row r="254" ht="18.0" customHeight="1">
      <c r="A254" s="89"/>
      <c r="B254" s="89"/>
      <c r="C254" s="89"/>
      <c r="D254" s="89"/>
      <c r="E254" s="90"/>
      <c r="G254" s="90"/>
      <c r="H254" s="89"/>
      <c r="I254" s="89"/>
      <c r="J254" s="89"/>
      <c r="K254" s="89"/>
      <c r="L254" s="89"/>
    </row>
    <row r="255" ht="18.0" customHeight="1">
      <c r="A255" s="89"/>
      <c r="B255" s="89"/>
      <c r="C255" s="89"/>
      <c r="D255" s="89"/>
      <c r="E255" s="90"/>
      <c r="G255" s="90"/>
      <c r="H255" s="89"/>
      <c r="I255" s="89"/>
      <c r="J255" s="89"/>
      <c r="K255" s="89"/>
      <c r="L255" s="89"/>
    </row>
    <row r="256" ht="18.0" customHeight="1">
      <c r="A256" s="89"/>
      <c r="B256" s="89"/>
      <c r="C256" s="89"/>
      <c r="D256" s="89"/>
      <c r="E256" s="90"/>
      <c r="G256" s="90"/>
      <c r="H256" s="89"/>
      <c r="I256" s="89"/>
      <c r="J256" s="89"/>
      <c r="K256" s="89"/>
      <c r="L256" s="89"/>
    </row>
    <row r="257" ht="18.0" customHeight="1">
      <c r="A257" s="89"/>
      <c r="B257" s="89"/>
      <c r="C257" s="89"/>
      <c r="D257" s="89"/>
      <c r="E257" s="90"/>
      <c r="G257" s="90"/>
      <c r="H257" s="89"/>
      <c r="I257" s="89"/>
      <c r="J257" s="89"/>
      <c r="K257" s="89"/>
      <c r="L257" s="89"/>
    </row>
    <row r="258" ht="18.0" customHeight="1">
      <c r="A258" s="89"/>
      <c r="B258" s="89"/>
      <c r="C258" s="89"/>
      <c r="D258" s="89"/>
      <c r="E258" s="90"/>
      <c r="G258" s="90"/>
      <c r="H258" s="89"/>
      <c r="I258" s="89"/>
      <c r="J258" s="89"/>
      <c r="K258" s="89"/>
      <c r="L258" s="89"/>
    </row>
    <row r="259" ht="18.0" customHeight="1">
      <c r="A259" s="89"/>
      <c r="B259" s="89"/>
      <c r="C259" s="89"/>
      <c r="D259" s="89"/>
      <c r="E259" s="90"/>
      <c r="G259" s="90"/>
      <c r="H259" s="89"/>
      <c r="I259" s="89"/>
      <c r="J259" s="89"/>
      <c r="K259" s="89"/>
      <c r="L259" s="89"/>
    </row>
    <row r="260" ht="18.0" customHeight="1">
      <c r="A260" s="89"/>
      <c r="B260" s="89"/>
      <c r="C260" s="89"/>
      <c r="D260" s="89"/>
      <c r="E260" s="90"/>
      <c r="G260" s="90"/>
      <c r="H260" s="89"/>
      <c r="I260" s="89"/>
      <c r="J260" s="89"/>
      <c r="K260" s="89"/>
      <c r="L260" s="89"/>
    </row>
    <row r="261" ht="18.0" customHeight="1">
      <c r="A261" s="89"/>
      <c r="B261" s="89"/>
      <c r="C261" s="89"/>
      <c r="D261" s="89"/>
      <c r="E261" s="90"/>
      <c r="G261" s="90"/>
      <c r="H261" s="89"/>
      <c r="I261" s="89"/>
      <c r="J261" s="89"/>
      <c r="K261" s="89"/>
      <c r="L261" s="89"/>
    </row>
    <row r="262" ht="14.25" customHeight="1">
      <c r="A262" s="89"/>
      <c r="B262" s="89"/>
      <c r="C262" s="89"/>
      <c r="D262" s="89"/>
      <c r="E262" s="90"/>
      <c r="G262" s="90"/>
      <c r="H262" s="89"/>
      <c r="I262" s="89"/>
      <c r="J262" s="89"/>
      <c r="K262" s="89"/>
      <c r="L262" s="89"/>
    </row>
    <row r="263" ht="14.25" customHeight="1">
      <c r="A263" s="89"/>
      <c r="B263" s="89"/>
      <c r="C263" s="89"/>
      <c r="D263" s="89"/>
      <c r="E263" s="90"/>
      <c r="G263" s="90"/>
      <c r="H263" s="89"/>
      <c r="I263" s="89"/>
      <c r="J263" s="89"/>
      <c r="K263" s="89"/>
      <c r="L263" s="89"/>
    </row>
    <row r="264" ht="14.25" customHeight="1">
      <c r="A264" s="89"/>
      <c r="B264" s="89"/>
      <c r="C264" s="89"/>
      <c r="D264" s="89"/>
      <c r="E264" s="90"/>
      <c r="G264" s="90"/>
      <c r="H264" s="89"/>
      <c r="I264" s="89"/>
      <c r="J264" s="89"/>
      <c r="K264" s="89"/>
      <c r="L264" s="89"/>
    </row>
    <row r="265" ht="14.25" customHeight="1">
      <c r="A265" s="89"/>
      <c r="B265" s="89"/>
      <c r="C265" s="89"/>
      <c r="D265" s="89"/>
      <c r="E265" s="90"/>
      <c r="G265" s="90"/>
      <c r="H265" s="89"/>
      <c r="I265" s="89"/>
      <c r="J265" s="89"/>
      <c r="K265" s="89"/>
      <c r="L265" s="89"/>
    </row>
    <row r="266" ht="14.25" customHeight="1">
      <c r="A266" s="89"/>
      <c r="B266" s="89"/>
      <c r="C266" s="89"/>
      <c r="D266" s="89"/>
      <c r="E266" s="90"/>
      <c r="G266" s="90"/>
      <c r="H266" s="89"/>
      <c r="I266" s="89"/>
      <c r="J266" s="89"/>
      <c r="K266" s="89"/>
      <c r="L266" s="89"/>
    </row>
    <row r="267" ht="14.25" customHeight="1">
      <c r="A267" s="89"/>
      <c r="B267" s="89"/>
      <c r="C267" s="89"/>
      <c r="D267" s="89"/>
      <c r="E267" s="90"/>
      <c r="G267" s="90"/>
      <c r="H267" s="89"/>
      <c r="I267" s="89"/>
      <c r="J267" s="89"/>
      <c r="K267" s="89"/>
      <c r="L267" s="89"/>
    </row>
    <row r="268" ht="14.25" customHeight="1">
      <c r="A268" s="89"/>
      <c r="B268" s="89"/>
      <c r="C268" s="89"/>
      <c r="D268" s="89"/>
      <c r="E268" s="90"/>
      <c r="G268" s="90"/>
      <c r="H268" s="89"/>
      <c r="I268" s="89"/>
      <c r="J268" s="89"/>
      <c r="K268" s="89"/>
      <c r="L268" s="89"/>
    </row>
    <row r="269" ht="14.25" customHeight="1">
      <c r="A269" s="89"/>
      <c r="B269" s="89"/>
      <c r="C269" s="89"/>
      <c r="D269" s="89"/>
      <c r="E269" s="90"/>
      <c r="G269" s="90"/>
      <c r="H269" s="89"/>
      <c r="I269" s="89"/>
      <c r="J269" s="89"/>
      <c r="K269" s="89"/>
      <c r="L269" s="89"/>
    </row>
    <row r="270" ht="14.25" customHeight="1">
      <c r="A270" s="89"/>
      <c r="B270" s="89"/>
      <c r="C270" s="89"/>
      <c r="D270" s="89"/>
      <c r="E270" s="90"/>
      <c r="G270" s="90"/>
      <c r="H270" s="89"/>
      <c r="I270" s="89"/>
      <c r="J270" s="89"/>
      <c r="K270" s="89"/>
      <c r="L270" s="89"/>
    </row>
    <row r="271" ht="14.25" customHeight="1">
      <c r="A271" s="89"/>
      <c r="B271" s="89"/>
      <c r="C271" s="89"/>
      <c r="D271" s="89"/>
      <c r="E271" s="90"/>
      <c r="G271" s="90"/>
      <c r="H271" s="89"/>
      <c r="I271" s="89"/>
      <c r="J271" s="89"/>
      <c r="K271" s="89"/>
      <c r="L271" s="89"/>
    </row>
    <row r="272" ht="14.25" customHeight="1">
      <c r="A272" s="89"/>
      <c r="B272" s="89"/>
      <c r="C272" s="89"/>
      <c r="D272" s="89"/>
      <c r="E272" s="90"/>
      <c r="G272" s="90"/>
      <c r="H272" s="89"/>
      <c r="I272" s="89"/>
      <c r="J272" s="89"/>
      <c r="K272" s="89"/>
      <c r="L272" s="89"/>
    </row>
    <row r="273" ht="14.25" customHeight="1">
      <c r="A273" s="89"/>
      <c r="B273" s="89"/>
      <c r="C273" s="89"/>
      <c r="D273" s="89"/>
      <c r="E273" s="90"/>
      <c r="G273" s="90"/>
      <c r="H273" s="89"/>
      <c r="I273" s="89"/>
      <c r="J273" s="89"/>
      <c r="K273" s="89"/>
      <c r="L273" s="89"/>
    </row>
    <row r="274" ht="14.25" customHeight="1">
      <c r="A274" s="89"/>
      <c r="B274" s="89"/>
      <c r="C274" s="89"/>
      <c r="D274" s="89"/>
      <c r="E274" s="90"/>
      <c r="G274" s="90"/>
      <c r="H274" s="89"/>
      <c r="I274" s="89"/>
      <c r="J274" s="89"/>
      <c r="K274" s="89"/>
      <c r="L274" s="89"/>
    </row>
    <row r="275" ht="14.25" customHeight="1">
      <c r="A275" s="89"/>
      <c r="B275" s="89"/>
      <c r="C275" s="89"/>
      <c r="D275" s="89"/>
      <c r="E275" s="90"/>
      <c r="G275" s="90"/>
      <c r="H275" s="89"/>
      <c r="I275" s="89"/>
      <c r="J275" s="89"/>
      <c r="K275" s="89"/>
      <c r="L275" s="89"/>
    </row>
    <row r="276" ht="14.25" customHeight="1">
      <c r="A276" s="89"/>
      <c r="B276" s="89"/>
      <c r="C276" s="89"/>
      <c r="D276" s="89"/>
      <c r="E276" s="90"/>
      <c r="G276" s="90"/>
      <c r="H276" s="89"/>
      <c r="I276" s="89"/>
      <c r="J276" s="89"/>
      <c r="K276" s="89"/>
      <c r="L276" s="89"/>
    </row>
    <row r="277" ht="14.25" customHeight="1">
      <c r="A277" s="89"/>
      <c r="B277" s="89"/>
      <c r="C277" s="89"/>
      <c r="D277" s="89"/>
      <c r="E277" s="90"/>
      <c r="G277" s="90"/>
      <c r="H277" s="89"/>
      <c r="I277" s="89"/>
      <c r="J277" s="89"/>
      <c r="K277" s="89"/>
      <c r="L277" s="89"/>
    </row>
    <row r="278" ht="14.25" customHeight="1">
      <c r="A278" s="89"/>
      <c r="B278" s="89"/>
      <c r="C278" s="89"/>
      <c r="D278" s="89"/>
      <c r="E278" s="90"/>
      <c r="G278" s="90"/>
      <c r="H278" s="89"/>
      <c r="I278" s="89"/>
      <c r="J278" s="89"/>
      <c r="K278" s="89"/>
      <c r="L278" s="89"/>
    </row>
    <row r="279" ht="14.25" customHeight="1">
      <c r="A279" s="89"/>
      <c r="B279" s="89"/>
      <c r="C279" s="89"/>
      <c r="D279" s="89"/>
      <c r="E279" s="90"/>
      <c r="G279" s="90"/>
      <c r="H279" s="89"/>
      <c r="I279" s="89"/>
      <c r="J279" s="89"/>
      <c r="K279" s="89"/>
      <c r="L279" s="89"/>
    </row>
    <row r="280" ht="14.25" customHeight="1">
      <c r="A280" s="89"/>
      <c r="B280" s="89"/>
      <c r="C280" s="89"/>
      <c r="D280" s="89"/>
      <c r="E280" s="90"/>
      <c r="G280" s="90"/>
      <c r="H280" s="89"/>
      <c r="I280" s="89"/>
      <c r="J280" s="89"/>
      <c r="K280" s="89"/>
      <c r="L280" s="89"/>
    </row>
    <row r="281" ht="14.25" customHeight="1">
      <c r="A281" s="89"/>
      <c r="B281" s="89"/>
      <c r="C281" s="89"/>
      <c r="D281" s="89"/>
      <c r="E281" s="90"/>
      <c r="G281" s="90"/>
      <c r="H281" s="89"/>
      <c r="I281" s="89"/>
      <c r="J281" s="89"/>
      <c r="K281" s="89"/>
      <c r="L281" s="89"/>
    </row>
    <row r="282" ht="14.25" customHeight="1">
      <c r="A282" s="89"/>
      <c r="B282" s="89"/>
      <c r="C282" s="89"/>
      <c r="D282" s="89"/>
      <c r="E282" s="90"/>
      <c r="G282" s="90"/>
      <c r="H282" s="89"/>
      <c r="I282" s="89"/>
      <c r="J282" s="89"/>
      <c r="K282" s="89"/>
      <c r="L282" s="89"/>
    </row>
    <row r="283" ht="14.25" customHeight="1">
      <c r="A283" s="89"/>
      <c r="B283" s="89"/>
      <c r="C283" s="89"/>
      <c r="D283" s="89"/>
      <c r="E283" s="90"/>
      <c r="G283" s="90"/>
      <c r="H283" s="89"/>
      <c r="I283" s="89"/>
      <c r="J283" s="89"/>
      <c r="K283" s="89"/>
      <c r="L283" s="89"/>
    </row>
    <row r="284" ht="14.25" customHeight="1">
      <c r="A284" s="89"/>
      <c r="B284" s="89"/>
      <c r="C284" s="89"/>
      <c r="D284" s="89"/>
      <c r="E284" s="90"/>
      <c r="G284" s="90"/>
      <c r="H284" s="89"/>
      <c r="I284" s="89"/>
      <c r="J284" s="89"/>
      <c r="K284" s="89"/>
      <c r="L284" s="89"/>
    </row>
    <row r="285" ht="14.25" customHeight="1">
      <c r="A285" s="89"/>
      <c r="B285" s="89"/>
      <c r="C285" s="89"/>
      <c r="D285" s="89"/>
      <c r="E285" s="90"/>
      <c r="G285" s="90"/>
      <c r="H285" s="89"/>
      <c r="I285" s="89"/>
      <c r="J285" s="89"/>
      <c r="K285" s="89"/>
      <c r="L285" s="89"/>
    </row>
    <row r="286" ht="14.25" customHeight="1">
      <c r="A286" s="89"/>
      <c r="B286" s="89"/>
      <c r="C286" s="89"/>
      <c r="D286" s="89"/>
      <c r="E286" s="90"/>
      <c r="G286" s="90"/>
      <c r="H286" s="89"/>
      <c r="I286" s="89"/>
      <c r="J286" s="89"/>
      <c r="K286" s="89"/>
      <c r="L286" s="89"/>
    </row>
    <row r="287" ht="14.25" customHeight="1">
      <c r="A287" s="89"/>
      <c r="B287" s="89"/>
      <c r="C287" s="89"/>
      <c r="D287" s="89"/>
      <c r="E287" s="90"/>
      <c r="G287" s="90"/>
      <c r="H287" s="89"/>
      <c r="I287" s="89"/>
      <c r="J287" s="89"/>
      <c r="K287" s="89"/>
      <c r="L287" s="89"/>
    </row>
    <row r="288" ht="14.25" customHeight="1">
      <c r="A288" s="89"/>
      <c r="B288" s="89"/>
      <c r="C288" s="89"/>
      <c r="D288" s="89"/>
      <c r="E288" s="90"/>
      <c r="G288" s="90"/>
      <c r="H288" s="89"/>
      <c r="I288" s="89"/>
      <c r="J288" s="89"/>
      <c r="K288" s="89"/>
      <c r="L288" s="89"/>
    </row>
    <row r="289" ht="14.25" customHeight="1">
      <c r="A289" s="89"/>
      <c r="B289" s="89"/>
      <c r="C289" s="89"/>
      <c r="D289" s="89"/>
      <c r="E289" s="90"/>
      <c r="G289" s="90"/>
      <c r="H289" s="89"/>
      <c r="I289" s="89"/>
      <c r="J289" s="89"/>
      <c r="K289" s="89"/>
      <c r="L289" s="89"/>
    </row>
    <row r="290" ht="14.25" customHeight="1">
      <c r="A290" s="89"/>
      <c r="B290" s="89"/>
      <c r="C290" s="89"/>
      <c r="D290" s="89"/>
      <c r="E290" s="90"/>
      <c r="G290" s="90"/>
      <c r="H290" s="89"/>
      <c r="I290" s="89"/>
      <c r="J290" s="89"/>
      <c r="K290" s="89"/>
      <c r="L290" s="89"/>
    </row>
    <row r="291" ht="14.25" customHeight="1">
      <c r="A291" s="89"/>
      <c r="B291" s="89"/>
      <c r="C291" s="89"/>
      <c r="D291" s="89"/>
      <c r="E291" s="90"/>
      <c r="G291" s="90"/>
      <c r="H291" s="89"/>
      <c r="I291" s="89"/>
      <c r="J291" s="89"/>
      <c r="K291" s="89"/>
      <c r="L291" s="89"/>
    </row>
    <row r="292" ht="14.25" customHeight="1">
      <c r="A292" s="89"/>
      <c r="B292" s="89"/>
      <c r="C292" s="89"/>
      <c r="D292" s="89"/>
      <c r="E292" s="90"/>
      <c r="G292" s="90"/>
      <c r="H292" s="89"/>
      <c r="I292" s="89"/>
      <c r="J292" s="89"/>
      <c r="K292" s="89"/>
      <c r="L292" s="89"/>
    </row>
    <row r="293" ht="14.25" customHeight="1">
      <c r="A293" s="89"/>
      <c r="B293" s="89"/>
      <c r="C293" s="89"/>
      <c r="D293" s="89"/>
      <c r="E293" s="90"/>
      <c r="G293" s="90"/>
      <c r="H293" s="89"/>
      <c r="I293" s="89"/>
      <c r="J293" s="89"/>
      <c r="K293" s="89"/>
      <c r="L293" s="89"/>
    </row>
    <row r="294" ht="14.25" customHeight="1">
      <c r="A294" s="89"/>
      <c r="B294" s="89"/>
      <c r="C294" s="89"/>
      <c r="D294" s="89"/>
      <c r="E294" s="90"/>
      <c r="G294" s="90"/>
      <c r="H294" s="89"/>
      <c r="I294" s="89"/>
      <c r="J294" s="89"/>
      <c r="K294" s="89"/>
      <c r="L294" s="89"/>
    </row>
    <row r="295" ht="14.25" customHeight="1">
      <c r="A295" s="89"/>
      <c r="B295" s="89"/>
      <c r="C295" s="89"/>
      <c r="D295" s="89"/>
      <c r="E295" s="90"/>
      <c r="G295" s="90"/>
      <c r="H295" s="89"/>
      <c r="I295" s="89"/>
      <c r="J295" s="89"/>
      <c r="K295" s="89"/>
      <c r="L295" s="89"/>
    </row>
    <row r="296" ht="14.25" customHeight="1">
      <c r="A296" s="89"/>
      <c r="B296" s="89"/>
      <c r="C296" s="89"/>
      <c r="D296" s="89"/>
      <c r="E296" s="90"/>
      <c r="G296" s="90"/>
      <c r="H296" s="89"/>
      <c r="I296" s="89"/>
      <c r="J296" s="89"/>
      <c r="K296" s="89"/>
      <c r="L296" s="89"/>
    </row>
    <row r="297" ht="14.25" customHeight="1">
      <c r="A297" s="89"/>
      <c r="B297" s="89"/>
      <c r="C297" s="89"/>
      <c r="D297" s="89"/>
      <c r="E297" s="90"/>
      <c r="G297" s="90"/>
      <c r="H297" s="89"/>
      <c r="I297" s="89"/>
      <c r="J297" s="89"/>
      <c r="K297" s="89"/>
      <c r="L297" s="89"/>
    </row>
    <row r="298" ht="14.25" customHeight="1">
      <c r="A298" s="89"/>
      <c r="B298" s="89"/>
      <c r="C298" s="89"/>
      <c r="D298" s="89"/>
      <c r="E298" s="90"/>
      <c r="G298" s="90"/>
      <c r="H298" s="89"/>
      <c r="I298" s="89"/>
      <c r="J298" s="89"/>
      <c r="K298" s="89"/>
      <c r="L298" s="89"/>
    </row>
    <row r="299" ht="14.25" customHeight="1">
      <c r="A299" s="89"/>
      <c r="B299" s="89"/>
      <c r="C299" s="89"/>
      <c r="D299" s="89"/>
      <c r="E299" s="90"/>
      <c r="G299" s="90"/>
      <c r="H299" s="89"/>
      <c r="I299" s="89"/>
      <c r="J299" s="89"/>
      <c r="K299" s="89"/>
      <c r="L299" s="89"/>
    </row>
    <row r="300" ht="14.25" customHeight="1">
      <c r="A300" s="89"/>
      <c r="B300" s="89"/>
      <c r="C300" s="89"/>
      <c r="D300" s="89"/>
      <c r="E300" s="90"/>
      <c r="G300" s="90"/>
      <c r="H300" s="89"/>
      <c r="I300" s="89"/>
      <c r="J300" s="89"/>
      <c r="K300" s="89"/>
      <c r="L300" s="89"/>
    </row>
    <row r="301" ht="14.25" customHeight="1">
      <c r="A301" s="89"/>
      <c r="B301" s="89"/>
      <c r="C301" s="89"/>
      <c r="D301" s="89"/>
      <c r="E301" s="90"/>
      <c r="G301" s="90"/>
      <c r="H301" s="89"/>
      <c r="I301" s="89"/>
      <c r="J301" s="89"/>
      <c r="K301" s="89"/>
      <c r="L301" s="89"/>
    </row>
    <row r="302" ht="14.25" customHeight="1">
      <c r="A302" s="89"/>
      <c r="B302" s="89"/>
      <c r="C302" s="89"/>
      <c r="D302" s="89"/>
      <c r="E302" s="90"/>
      <c r="G302" s="90"/>
      <c r="H302" s="89"/>
      <c r="I302" s="89"/>
      <c r="J302" s="89"/>
      <c r="K302" s="89"/>
      <c r="L302" s="89"/>
    </row>
    <row r="303" ht="14.25" customHeight="1">
      <c r="A303" s="89"/>
      <c r="B303" s="89"/>
      <c r="C303" s="89"/>
      <c r="D303" s="89"/>
      <c r="E303" s="90"/>
      <c r="G303" s="90"/>
      <c r="H303" s="89"/>
      <c r="I303" s="89"/>
      <c r="J303" s="89"/>
      <c r="K303" s="89"/>
      <c r="L303" s="89"/>
    </row>
    <row r="304" ht="14.25" customHeight="1">
      <c r="A304" s="89"/>
      <c r="B304" s="89"/>
      <c r="C304" s="89"/>
      <c r="D304" s="89"/>
      <c r="E304" s="90"/>
      <c r="G304" s="90"/>
      <c r="H304" s="89"/>
      <c r="I304" s="89"/>
      <c r="J304" s="89"/>
      <c r="K304" s="89"/>
      <c r="L304" s="89"/>
    </row>
    <row r="305" ht="14.25" customHeight="1">
      <c r="A305" s="89"/>
      <c r="B305" s="89"/>
      <c r="C305" s="89"/>
      <c r="D305" s="89"/>
      <c r="E305" s="90"/>
      <c r="G305" s="90"/>
      <c r="H305" s="89"/>
      <c r="I305" s="89"/>
      <c r="J305" s="89"/>
      <c r="K305" s="89"/>
      <c r="L305" s="89"/>
    </row>
    <row r="306" ht="14.25" customHeight="1">
      <c r="A306" s="89"/>
      <c r="B306" s="89"/>
      <c r="C306" s="89"/>
      <c r="D306" s="89"/>
      <c r="E306" s="90"/>
      <c r="G306" s="90"/>
      <c r="H306" s="89"/>
      <c r="I306" s="89"/>
      <c r="J306" s="89"/>
      <c r="K306" s="89"/>
      <c r="L306" s="89"/>
    </row>
    <row r="307" ht="14.25" customHeight="1">
      <c r="A307" s="89"/>
      <c r="B307" s="89"/>
      <c r="C307" s="89"/>
      <c r="D307" s="89"/>
      <c r="E307" s="90"/>
      <c r="G307" s="90"/>
      <c r="H307" s="89"/>
      <c r="I307" s="89"/>
      <c r="J307" s="89"/>
      <c r="K307" s="89"/>
      <c r="L307" s="89"/>
    </row>
    <row r="308" ht="14.25" customHeight="1">
      <c r="A308" s="89"/>
      <c r="B308" s="89"/>
      <c r="C308" s="89"/>
      <c r="D308" s="89"/>
      <c r="E308" s="90"/>
      <c r="G308" s="90"/>
      <c r="H308" s="89"/>
      <c r="I308" s="89"/>
      <c r="J308" s="89"/>
      <c r="K308" s="89"/>
      <c r="L308" s="89"/>
    </row>
    <row r="309" ht="14.25" customHeight="1">
      <c r="A309" s="89"/>
      <c r="B309" s="89"/>
      <c r="C309" s="89"/>
      <c r="D309" s="89"/>
      <c r="E309" s="90"/>
      <c r="G309" s="90"/>
      <c r="H309" s="89"/>
      <c r="I309" s="89"/>
      <c r="J309" s="89"/>
      <c r="K309" s="89"/>
      <c r="L309" s="89"/>
    </row>
    <row r="310" ht="14.25" customHeight="1">
      <c r="A310" s="89"/>
      <c r="B310" s="89"/>
      <c r="C310" s="89"/>
      <c r="D310" s="89"/>
      <c r="E310" s="90"/>
      <c r="G310" s="90"/>
      <c r="H310" s="89"/>
      <c r="I310" s="89"/>
      <c r="J310" s="89"/>
      <c r="K310" s="89"/>
      <c r="L310" s="89"/>
    </row>
    <row r="311" ht="14.25" customHeight="1">
      <c r="A311" s="89"/>
      <c r="B311" s="89"/>
      <c r="C311" s="89"/>
      <c r="D311" s="89"/>
      <c r="E311" s="90"/>
      <c r="G311" s="90"/>
      <c r="H311" s="89"/>
      <c r="I311" s="89"/>
      <c r="J311" s="89"/>
      <c r="K311" s="89"/>
      <c r="L311" s="89"/>
    </row>
    <row r="312" ht="14.25" customHeight="1">
      <c r="A312" s="89"/>
      <c r="B312" s="89"/>
      <c r="C312" s="89"/>
      <c r="D312" s="89"/>
      <c r="E312" s="90"/>
      <c r="G312" s="90"/>
      <c r="H312" s="89"/>
      <c r="I312" s="89"/>
      <c r="J312" s="89"/>
      <c r="K312" s="89"/>
      <c r="L312" s="89"/>
    </row>
    <row r="313" ht="14.25" customHeight="1">
      <c r="A313" s="89"/>
      <c r="B313" s="89"/>
      <c r="C313" s="89"/>
      <c r="D313" s="89"/>
      <c r="E313" s="90"/>
      <c r="G313" s="90"/>
      <c r="H313" s="89"/>
      <c r="I313" s="89"/>
      <c r="J313" s="89"/>
      <c r="K313" s="89"/>
      <c r="L313" s="89"/>
    </row>
    <row r="314" ht="14.25" customHeight="1">
      <c r="A314" s="89"/>
      <c r="B314" s="89"/>
      <c r="C314" s="89"/>
      <c r="D314" s="89"/>
      <c r="E314" s="90"/>
      <c r="G314" s="90"/>
      <c r="H314" s="89"/>
      <c r="I314" s="89"/>
      <c r="J314" s="89"/>
      <c r="K314" s="89"/>
      <c r="L314" s="89"/>
    </row>
    <row r="315" ht="14.25" customHeight="1">
      <c r="A315" s="89"/>
      <c r="B315" s="89"/>
      <c r="C315" s="89"/>
      <c r="D315" s="89"/>
      <c r="E315" s="90"/>
      <c r="G315" s="90"/>
      <c r="H315" s="89"/>
      <c r="I315" s="89"/>
      <c r="J315" s="89"/>
      <c r="K315" s="89"/>
      <c r="L315" s="89"/>
    </row>
    <row r="316" ht="14.25" customHeight="1">
      <c r="A316" s="89"/>
      <c r="B316" s="89"/>
      <c r="C316" s="89"/>
      <c r="D316" s="89"/>
      <c r="E316" s="90"/>
      <c r="G316" s="90"/>
      <c r="H316" s="89"/>
      <c r="I316" s="89"/>
      <c r="J316" s="89"/>
      <c r="K316" s="89"/>
      <c r="L316" s="89"/>
    </row>
    <row r="317" ht="14.25" customHeight="1">
      <c r="A317" s="89"/>
      <c r="B317" s="89"/>
      <c r="C317" s="89"/>
      <c r="D317" s="89"/>
      <c r="E317" s="90"/>
      <c r="G317" s="90"/>
      <c r="H317" s="89"/>
      <c r="I317" s="89"/>
      <c r="J317" s="89"/>
      <c r="K317" s="89"/>
      <c r="L317" s="89"/>
    </row>
    <row r="318" ht="14.25" customHeight="1">
      <c r="A318" s="89"/>
      <c r="B318" s="89"/>
      <c r="C318" s="89"/>
      <c r="D318" s="89"/>
      <c r="E318" s="90"/>
      <c r="G318" s="90"/>
      <c r="H318" s="89"/>
      <c r="I318" s="89"/>
      <c r="J318" s="89"/>
      <c r="K318" s="89"/>
      <c r="L318" s="89"/>
    </row>
    <row r="319" ht="14.25" customHeight="1">
      <c r="A319" s="89"/>
      <c r="B319" s="89"/>
      <c r="C319" s="89"/>
      <c r="D319" s="89"/>
      <c r="E319" s="90"/>
      <c r="G319" s="90"/>
      <c r="H319" s="89"/>
      <c r="I319" s="89"/>
      <c r="J319" s="89"/>
      <c r="K319" s="89"/>
      <c r="L319" s="89"/>
    </row>
    <row r="320" ht="14.25" customHeight="1">
      <c r="A320" s="89"/>
      <c r="B320" s="89"/>
      <c r="C320" s="89"/>
      <c r="D320" s="89"/>
      <c r="E320" s="90"/>
      <c r="G320" s="90"/>
      <c r="H320" s="89"/>
      <c r="I320" s="89"/>
      <c r="J320" s="89"/>
      <c r="K320" s="89"/>
      <c r="L320" s="89"/>
    </row>
    <row r="321" ht="14.25" customHeight="1">
      <c r="A321" s="89"/>
      <c r="B321" s="89"/>
      <c r="C321" s="89"/>
      <c r="D321" s="89"/>
      <c r="E321" s="90"/>
      <c r="G321" s="90"/>
      <c r="H321" s="89"/>
      <c r="I321" s="89"/>
      <c r="J321" s="89"/>
      <c r="K321" s="89"/>
      <c r="L321" s="89"/>
    </row>
    <row r="322" ht="14.25" customHeight="1">
      <c r="A322" s="89"/>
      <c r="B322" s="89"/>
      <c r="C322" s="89"/>
      <c r="D322" s="89"/>
      <c r="E322" s="90"/>
      <c r="G322" s="90"/>
      <c r="H322" s="89"/>
      <c r="I322" s="89"/>
      <c r="J322" s="89"/>
      <c r="K322" s="89"/>
      <c r="L322" s="89"/>
    </row>
    <row r="323" ht="14.25" customHeight="1">
      <c r="A323" s="89"/>
      <c r="B323" s="89"/>
      <c r="C323" s="89"/>
      <c r="D323" s="89"/>
      <c r="E323" s="90"/>
      <c r="G323" s="90"/>
      <c r="H323" s="89"/>
      <c r="I323" s="89"/>
      <c r="J323" s="89"/>
      <c r="K323" s="89"/>
      <c r="L323" s="89"/>
    </row>
    <row r="324" ht="14.25" customHeight="1">
      <c r="A324" s="89"/>
      <c r="B324" s="89"/>
      <c r="C324" s="89"/>
      <c r="D324" s="89"/>
      <c r="E324" s="90"/>
      <c r="G324" s="90"/>
      <c r="H324" s="89"/>
      <c r="I324" s="89"/>
      <c r="J324" s="89"/>
      <c r="K324" s="89"/>
      <c r="L324" s="89"/>
    </row>
    <row r="325" ht="14.25" customHeight="1">
      <c r="A325" s="89"/>
      <c r="B325" s="89"/>
      <c r="C325" s="89"/>
      <c r="D325" s="89"/>
      <c r="E325" s="90"/>
      <c r="G325" s="90"/>
      <c r="H325" s="89"/>
      <c r="I325" s="89"/>
      <c r="J325" s="89"/>
      <c r="K325" s="89"/>
      <c r="L325" s="89"/>
    </row>
    <row r="326" ht="14.25" customHeight="1">
      <c r="A326" s="89"/>
      <c r="B326" s="89"/>
      <c r="C326" s="89"/>
      <c r="D326" s="89"/>
      <c r="E326" s="90"/>
      <c r="G326" s="90"/>
      <c r="H326" s="89"/>
      <c r="I326" s="89"/>
      <c r="J326" s="89"/>
      <c r="K326" s="89"/>
      <c r="L326" s="89"/>
    </row>
    <row r="327" ht="14.25" customHeight="1">
      <c r="A327" s="89"/>
      <c r="B327" s="89"/>
      <c r="C327" s="89"/>
      <c r="D327" s="89"/>
      <c r="E327" s="90"/>
      <c r="G327" s="90"/>
      <c r="H327" s="89"/>
      <c r="I327" s="89"/>
      <c r="J327" s="89"/>
      <c r="K327" s="89"/>
      <c r="L327" s="89"/>
    </row>
    <row r="328" ht="14.25" customHeight="1">
      <c r="A328" s="89"/>
      <c r="B328" s="89"/>
      <c r="C328" s="89"/>
      <c r="D328" s="89"/>
      <c r="E328" s="90"/>
      <c r="G328" s="90"/>
      <c r="H328" s="89"/>
      <c r="I328" s="89"/>
      <c r="J328" s="89"/>
      <c r="K328" s="89"/>
      <c r="L328" s="89"/>
    </row>
    <row r="329" ht="14.25" customHeight="1">
      <c r="A329" s="89"/>
      <c r="B329" s="89"/>
      <c r="C329" s="89"/>
      <c r="D329" s="89"/>
      <c r="E329" s="90"/>
      <c r="G329" s="90"/>
      <c r="H329" s="89"/>
      <c r="I329" s="89"/>
      <c r="J329" s="89"/>
      <c r="K329" s="89"/>
      <c r="L329" s="89"/>
    </row>
    <row r="330" ht="14.25" customHeight="1">
      <c r="A330" s="89"/>
      <c r="B330" s="89"/>
      <c r="C330" s="89"/>
      <c r="D330" s="89"/>
      <c r="E330" s="90"/>
      <c r="G330" s="90"/>
      <c r="H330" s="89"/>
      <c r="I330" s="89"/>
      <c r="J330" s="89"/>
      <c r="K330" s="89"/>
      <c r="L330" s="89"/>
    </row>
    <row r="331" ht="14.25" customHeight="1">
      <c r="A331" s="89"/>
      <c r="B331" s="89"/>
      <c r="C331" s="89"/>
      <c r="D331" s="89"/>
      <c r="E331" s="90"/>
      <c r="G331" s="90"/>
      <c r="H331" s="89"/>
      <c r="I331" s="89"/>
      <c r="J331" s="89"/>
      <c r="K331" s="89"/>
      <c r="L331" s="89"/>
    </row>
    <row r="332" ht="14.25" customHeight="1">
      <c r="A332" s="89"/>
      <c r="B332" s="89"/>
      <c r="C332" s="89"/>
      <c r="D332" s="89"/>
      <c r="E332" s="90"/>
      <c r="G332" s="90"/>
      <c r="H332" s="89"/>
      <c r="I332" s="89"/>
      <c r="J332" s="89"/>
      <c r="K332" s="89"/>
      <c r="L332" s="89"/>
    </row>
    <row r="333" ht="14.25" customHeight="1">
      <c r="A333" s="89"/>
      <c r="B333" s="89"/>
      <c r="C333" s="89"/>
      <c r="D333" s="89"/>
      <c r="E333" s="90"/>
      <c r="G333" s="90"/>
      <c r="H333" s="89"/>
      <c r="I333" s="89"/>
      <c r="J333" s="89"/>
      <c r="K333" s="89"/>
      <c r="L333" s="89"/>
    </row>
    <row r="334" ht="14.25" customHeight="1">
      <c r="A334" s="89"/>
      <c r="B334" s="89"/>
      <c r="C334" s="89"/>
      <c r="D334" s="89"/>
      <c r="E334" s="90"/>
      <c r="G334" s="90"/>
      <c r="H334" s="89"/>
      <c r="I334" s="89"/>
      <c r="J334" s="89"/>
      <c r="K334" s="89"/>
      <c r="L334" s="89"/>
    </row>
    <row r="335" ht="14.25" customHeight="1">
      <c r="A335" s="89"/>
      <c r="B335" s="89"/>
      <c r="C335" s="89"/>
      <c r="D335" s="89"/>
      <c r="E335" s="90"/>
      <c r="G335" s="90"/>
      <c r="H335" s="89"/>
      <c r="I335" s="89"/>
      <c r="J335" s="89"/>
      <c r="K335" s="89"/>
      <c r="L335" s="89"/>
    </row>
    <row r="336" ht="14.25" customHeight="1">
      <c r="A336" s="89"/>
      <c r="B336" s="89"/>
      <c r="C336" s="89"/>
      <c r="D336" s="89"/>
      <c r="E336" s="90"/>
      <c r="G336" s="90"/>
      <c r="H336" s="89"/>
      <c r="I336" s="89"/>
      <c r="J336" s="89"/>
      <c r="K336" s="89"/>
      <c r="L336" s="89"/>
    </row>
    <row r="337" ht="14.25" customHeight="1">
      <c r="A337" s="89"/>
      <c r="B337" s="89"/>
      <c r="C337" s="89"/>
      <c r="D337" s="89"/>
      <c r="E337" s="90"/>
      <c r="G337" s="90"/>
      <c r="H337" s="89"/>
      <c r="I337" s="89"/>
      <c r="J337" s="89"/>
      <c r="K337" s="89"/>
      <c r="L337" s="89"/>
    </row>
    <row r="338" ht="14.25" customHeight="1">
      <c r="A338" s="89"/>
      <c r="B338" s="89"/>
      <c r="C338" s="89"/>
      <c r="D338" s="89"/>
      <c r="E338" s="90"/>
      <c r="G338" s="90"/>
      <c r="H338" s="89"/>
      <c r="I338" s="89"/>
      <c r="J338" s="89"/>
      <c r="K338" s="89"/>
      <c r="L338" s="89"/>
    </row>
    <row r="339" ht="14.25" customHeight="1">
      <c r="A339" s="89"/>
      <c r="B339" s="89"/>
      <c r="C339" s="89"/>
      <c r="D339" s="89"/>
      <c r="E339" s="90"/>
      <c r="G339" s="90"/>
      <c r="H339" s="89"/>
      <c r="I339" s="89"/>
      <c r="J339" s="89"/>
      <c r="K339" s="89"/>
      <c r="L339" s="89"/>
    </row>
    <row r="340" ht="14.25" customHeight="1">
      <c r="A340" s="89"/>
      <c r="B340" s="89"/>
      <c r="C340" s="89"/>
      <c r="D340" s="89"/>
      <c r="E340" s="90"/>
      <c r="G340" s="90"/>
      <c r="H340" s="89"/>
      <c r="I340" s="89"/>
      <c r="J340" s="89"/>
      <c r="K340" s="89"/>
      <c r="L340" s="89"/>
    </row>
    <row r="341" ht="14.25" customHeight="1">
      <c r="A341" s="89"/>
      <c r="B341" s="89"/>
      <c r="C341" s="89"/>
      <c r="D341" s="89"/>
      <c r="E341" s="90"/>
      <c r="G341" s="90"/>
      <c r="H341" s="89"/>
      <c r="I341" s="89"/>
      <c r="J341" s="89"/>
      <c r="K341" s="89"/>
      <c r="L341" s="89"/>
    </row>
    <row r="342" ht="14.25" customHeight="1">
      <c r="A342" s="89"/>
      <c r="B342" s="89"/>
      <c r="C342" s="89"/>
      <c r="D342" s="89"/>
      <c r="E342" s="90"/>
      <c r="G342" s="90"/>
      <c r="H342" s="89"/>
      <c r="I342" s="89"/>
      <c r="J342" s="89"/>
      <c r="K342" s="89"/>
      <c r="L342" s="89"/>
    </row>
    <row r="343" ht="14.25" customHeight="1">
      <c r="A343" s="89"/>
      <c r="B343" s="89"/>
      <c r="C343" s="89"/>
      <c r="D343" s="89"/>
      <c r="E343" s="90"/>
      <c r="G343" s="90"/>
      <c r="H343" s="89"/>
      <c r="I343" s="89"/>
      <c r="J343" s="89"/>
      <c r="K343" s="89"/>
      <c r="L343" s="89"/>
    </row>
    <row r="344" ht="14.25" customHeight="1">
      <c r="A344" s="89"/>
      <c r="B344" s="89"/>
      <c r="C344" s="89"/>
      <c r="D344" s="89"/>
      <c r="E344" s="90"/>
      <c r="G344" s="90"/>
      <c r="H344" s="89"/>
      <c r="I344" s="89"/>
      <c r="J344" s="89"/>
      <c r="K344" s="89"/>
      <c r="L344" s="89"/>
    </row>
    <row r="345" ht="14.25" customHeight="1">
      <c r="A345" s="89"/>
      <c r="B345" s="89"/>
      <c r="C345" s="89"/>
      <c r="D345" s="89"/>
      <c r="E345" s="90"/>
      <c r="G345" s="90"/>
      <c r="H345" s="89"/>
      <c r="I345" s="89"/>
      <c r="J345" s="89"/>
      <c r="K345" s="89"/>
      <c r="L345" s="89"/>
    </row>
    <row r="346" ht="14.25" customHeight="1">
      <c r="A346" s="89"/>
      <c r="B346" s="89"/>
      <c r="C346" s="89"/>
      <c r="D346" s="89"/>
      <c r="E346" s="90"/>
      <c r="G346" s="90"/>
      <c r="H346" s="89"/>
      <c r="I346" s="89"/>
      <c r="J346" s="89"/>
      <c r="K346" s="89"/>
      <c r="L346" s="89"/>
    </row>
    <row r="347" ht="14.25" customHeight="1">
      <c r="A347" s="89"/>
      <c r="B347" s="89"/>
      <c r="C347" s="89"/>
      <c r="D347" s="89"/>
      <c r="E347" s="90"/>
      <c r="G347" s="90"/>
      <c r="H347" s="89"/>
      <c r="I347" s="89"/>
      <c r="J347" s="89"/>
      <c r="K347" s="89"/>
      <c r="L347" s="89"/>
    </row>
    <row r="348" ht="14.25" customHeight="1">
      <c r="A348" s="89"/>
      <c r="B348" s="89"/>
      <c r="C348" s="89"/>
      <c r="D348" s="89"/>
      <c r="E348" s="90"/>
      <c r="G348" s="90"/>
      <c r="H348" s="89"/>
      <c r="I348" s="89"/>
      <c r="J348" s="89"/>
      <c r="K348" s="89"/>
      <c r="L348" s="89"/>
    </row>
    <row r="349" ht="14.25" customHeight="1">
      <c r="A349" s="89"/>
      <c r="B349" s="89"/>
      <c r="C349" s="89"/>
      <c r="D349" s="89"/>
      <c r="E349" s="90"/>
      <c r="G349" s="90"/>
      <c r="H349" s="89"/>
      <c r="I349" s="89"/>
      <c r="J349" s="89"/>
      <c r="K349" s="89"/>
      <c r="L349" s="89"/>
    </row>
    <row r="350" ht="14.25" customHeight="1">
      <c r="A350" s="89"/>
      <c r="B350" s="89"/>
      <c r="C350" s="89"/>
      <c r="D350" s="89"/>
      <c r="E350" s="90"/>
      <c r="G350" s="90"/>
      <c r="H350" s="89"/>
      <c r="I350" s="89"/>
      <c r="J350" s="89"/>
      <c r="K350" s="89"/>
      <c r="L350" s="89"/>
    </row>
    <row r="351" ht="14.25" customHeight="1">
      <c r="A351" s="89"/>
      <c r="B351" s="89"/>
      <c r="C351" s="89"/>
      <c r="D351" s="89"/>
      <c r="E351" s="90"/>
      <c r="G351" s="90"/>
      <c r="H351" s="89"/>
      <c r="I351" s="89"/>
      <c r="J351" s="89"/>
      <c r="K351" s="89"/>
      <c r="L351" s="89"/>
    </row>
    <row r="352" ht="14.25" customHeight="1">
      <c r="A352" s="89"/>
      <c r="B352" s="89"/>
      <c r="C352" s="89"/>
      <c r="D352" s="89"/>
      <c r="E352" s="90"/>
      <c r="G352" s="90"/>
      <c r="H352" s="89"/>
      <c r="I352" s="89"/>
      <c r="J352" s="89"/>
      <c r="K352" s="89"/>
      <c r="L352" s="89"/>
    </row>
    <row r="353" ht="14.25" customHeight="1">
      <c r="A353" s="89"/>
      <c r="B353" s="89"/>
      <c r="C353" s="89"/>
      <c r="D353" s="89"/>
      <c r="E353" s="90"/>
      <c r="G353" s="90"/>
      <c r="H353" s="89"/>
      <c r="I353" s="89"/>
      <c r="J353" s="89"/>
      <c r="K353" s="89"/>
      <c r="L353" s="89"/>
    </row>
    <row r="354" ht="14.25" customHeight="1">
      <c r="A354" s="89"/>
      <c r="B354" s="89"/>
      <c r="C354" s="89"/>
      <c r="D354" s="89"/>
      <c r="E354" s="90"/>
      <c r="G354" s="90"/>
      <c r="H354" s="89"/>
      <c r="I354" s="89"/>
      <c r="J354" s="89"/>
      <c r="K354" s="89"/>
      <c r="L354" s="89"/>
    </row>
    <row r="355" ht="14.25" customHeight="1">
      <c r="A355" s="89"/>
      <c r="B355" s="89"/>
      <c r="C355" s="89"/>
      <c r="D355" s="89"/>
      <c r="E355" s="90"/>
      <c r="G355" s="90"/>
      <c r="H355" s="89"/>
      <c r="I355" s="89"/>
      <c r="J355" s="89"/>
      <c r="K355" s="89"/>
      <c r="L355" s="89"/>
    </row>
    <row r="356" ht="14.25" customHeight="1">
      <c r="A356" s="89"/>
      <c r="B356" s="89"/>
      <c r="C356" s="89"/>
      <c r="D356" s="89"/>
      <c r="E356" s="90"/>
      <c r="G356" s="90"/>
      <c r="H356" s="89"/>
      <c r="I356" s="89"/>
      <c r="J356" s="89"/>
      <c r="K356" s="89"/>
      <c r="L356" s="89"/>
    </row>
    <row r="357" ht="14.25" customHeight="1">
      <c r="A357" s="89"/>
      <c r="B357" s="89"/>
      <c r="C357" s="89"/>
      <c r="D357" s="89"/>
      <c r="E357" s="90"/>
      <c r="G357" s="90"/>
      <c r="H357" s="89"/>
      <c r="I357" s="89"/>
      <c r="J357" s="89"/>
      <c r="K357" s="89"/>
      <c r="L357" s="89"/>
    </row>
    <row r="358" ht="14.25" customHeight="1">
      <c r="A358" s="89"/>
      <c r="B358" s="89"/>
      <c r="C358" s="89"/>
      <c r="D358" s="89"/>
      <c r="E358" s="90"/>
      <c r="G358" s="90"/>
      <c r="H358" s="89"/>
      <c r="I358" s="89"/>
      <c r="J358" s="89"/>
      <c r="K358" s="89"/>
      <c r="L358" s="89"/>
    </row>
    <row r="359" ht="14.25" customHeight="1">
      <c r="A359" s="89"/>
      <c r="B359" s="89"/>
      <c r="C359" s="89"/>
      <c r="D359" s="89"/>
      <c r="E359" s="90"/>
      <c r="G359" s="90"/>
      <c r="H359" s="89"/>
      <c r="I359" s="89"/>
      <c r="J359" s="89"/>
      <c r="K359" s="89"/>
      <c r="L359" s="89"/>
    </row>
    <row r="360" ht="14.25" customHeight="1">
      <c r="A360" s="89"/>
      <c r="B360" s="89"/>
      <c r="C360" s="89"/>
      <c r="D360" s="89"/>
      <c r="E360" s="90"/>
      <c r="G360" s="90"/>
      <c r="H360" s="89"/>
      <c r="I360" s="89"/>
      <c r="J360" s="89"/>
      <c r="K360" s="89"/>
      <c r="L360" s="89"/>
    </row>
    <row r="361" ht="14.25" customHeight="1">
      <c r="A361" s="89"/>
      <c r="B361" s="89"/>
      <c r="C361" s="89"/>
      <c r="D361" s="89"/>
      <c r="E361" s="90"/>
      <c r="G361" s="90"/>
      <c r="H361" s="89"/>
      <c r="I361" s="89"/>
      <c r="J361" s="89"/>
      <c r="K361" s="89"/>
      <c r="L361" s="89"/>
    </row>
    <row r="362" ht="14.25" customHeight="1">
      <c r="A362" s="89"/>
      <c r="B362" s="89"/>
      <c r="C362" s="89"/>
      <c r="D362" s="89"/>
      <c r="E362" s="90"/>
      <c r="G362" s="90"/>
      <c r="H362" s="89"/>
      <c r="I362" s="89"/>
      <c r="J362" s="89"/>
      <c r="K362" s="89"/>
      <c r="L362" s="89"/>
    </row>
    <row r="363" ht="14.25" customHeight="1">
      <c r="A363" s="89"/>
      <c r="B363" s="89"/>
      <c r="C363" s="89"/>
      <c r="D363" s="89"/>
      <c r="E363" s="90"/>
      <c r="G363" s="90"/>
      <c r="H363" s="89"/>
      <c r="I363" s="89"/>
      <c r="J363" s="89"/>
      <c r="K363" s="89"/>
      <c r="L363" s="89"/>
    </row>
    <row r="364" ht="14.25" customHeight="1">
      <c r="A364" s="89"/>
      <c r="B364" s="89"/>
      <c r="C364" s="89"/>
      <c r="D364" s="89"/>
      <c r="E364" s="90"/>
      <c r="G364" s="90"/>
      <c r="H364" s="89"/>
      <c r="I364" s="89"/>
      <c r="J364" s="89"/>
      <c r="K364" s="89"/>
      <c r="L364" s="89"/>
    </row>
    <row r="365" ht="14.25" customHeight="1">
      <c r="A365" s="89"/>
      <c r="B365" s="89"/>
      <c r="C365" s="89"/>
      <c r="D365" s="89"/>
      <c r="E365" s="90"/>
      <c r="G365" s="90"/>
      <c r="H365" s="89"/>
      <c r="I365" s="89"/>
      <c r="J365" s="89"/>
      <c r="K365" s="89"/>
      <c r="L365" s="89"/>
    </row>
    <row r="366" ht="14.25" customHeight="1">
      <c r="A366" s="89"/>
      <c r="B366" s="89"/>
      <c r="C366" s="89"/>
      <c r="D366" s="89"/>
      <c r="E366" s="90"/>
      <c r="G366" s="90"/>
      <c r="H366" s="89"/>
      <c r="I366" s="89"/>
      <c r="J366" s="89"/>
      <c r="K366" s="89"/>
      <c r="L366" s="89"/>
    </row>
    <row r="367" ht="14.25" customHeight="1">
      <c r="A367" s="89"/>
      <c r="B367" s="89"/>
      <c r="C367" s="89"/>
      <c r="D367" s="89"/>
      <c r="E367" s="90"/>
      <c r="G367" s="90"/>
      <c r="H367" s="89"/>
      <c r="I367" s="89"/>
      <c r="J367" s="89"/>
      <c r="K367" s="89"/>
      <c r="L367" s="89"/>
    </row>
    <row r="368" ht="14.25" customHeight="1">
      <c r="A368" s="89"/>
      <c r="B368" s="89"/>
      <c r="C368" s="89"/>
      <c r="D368" s="89"/>
      <c r="E368" s="90"/>
      <c r="G368" s="90"/>
      <c r="H368" s="89"/>
      <c r="I368" s="89"/>
      <c r="J368" s="89"/>
      <c r="K368" s="89"/>
      <c r="L368" s="89"/>
    </row>
    <row r="369" ht="14.25" customHeight="1">
      <c r="A369" s="89"/>
      <c r="B369" s="89"/>
      <c r="C369" s="89"/>
      <c r="D369" s="89"/>
      <c r="E369" s="90"/>
      <c r="G369" s="90"/>
      <c r="H369" s="89"/>
      <c r="I369" s="89"/>
      <c r="J369" s="89"/>
      <c r="K369" s="89"/>
      <c r="L369" s="89"/>
    </row>
    <row r="370" ht="14.25" customHeight="1">
      <c r="A370" s="89"/>
      <c r="B370" s="89"/>
      <c r="C370" s="89"/>
      <c r="D370" s="89"/>
      <c r="E370" s="90"/>
      <c r="G370" s="90"/>
      <c r="H370" s="89"/>
      <c r="I370" s="89"/>
      <c r="J370" s="89"/>
      <c r="K370" s="89"/>
      <c r="L370" s="89"/>
    </row>
    <row r="371" ht="14.25" customHeight="1">
      <c r="A371" s="89"/>
      <c r="B371" s="89"/>
      <c r="C371" s="89"/>
      <c r="D371" s="89"/>
      <c r="E371" s="90"/>
      <c r="G371" s="90"/>
      <c r="H371" s="89"/>
      <c r="I371" s="89"/>
      <c r="J371" s="89"/>
      <c r="K371" s="89"/>
      <c r="L371" s="89"/>
    </row>
    <row r="372" ht="14.25" customHeight="1">
      <c r="A372" s="89"/>
      <c r="B372" s="89"/>
      <c r="C372" s="89"/>
      <c r="D372" s="89"/>
      <c r="E372" s="90"/>
      <c r="G372" s="90"/>
      <c r="H372" s="89"/>
      <c r="I372" s="89"/>
      <c r="J372" s="89"/>
      <c r="K372" s="89"/>
      <c r="L372" s="89"/>
    </row>
    <row r="373" ht="14.25" customHeight="1">
      <c r="A373" s="89"/>
      <c r="B373" s="89"/>
      <c r="C373" s="89"/>
      <c r="D373" s="89"/>
      <c r="E373" s="90"/>
      <c r="G373" s="90"/>
      <c r="H373" s="89"/>
      <c r="I373" s="89"/>
      <c r="J373" s="89"/>
      <c r="K373" s="89"/>
      <c r="L373" s="89"/>
    </row>
    <row r="374" ht="14.25" customHeight="1">
      <c r="A374" s="89"/>
      <c r="B374" s="89"/>
      <c r="C374" s="89"/>
      <c r="D374" s="89"/>
      <c r="E374" s="90"/>
      <c r="G374" s="90"/>
      <c r="H374" s="89"/>
      <c r="I374" s="89"/>
      <c r="J374" s="89"/>
      <c r="K374" s="89"/>
      <c r="L374" s="89"/>
    </row>
    <row r="375" ht="14.25" customHeight="1">
      <c r="A375" s="89"/>
      <c r="B375" s="89"/>
      <c r="C375" s="89"/>
      <c r="D375" s="89"/>
      <c r="E375" s="90"/>
      <c r="G375" s="90"/>
      <c r="H375" s="89"/>
      <c r="I375" s="89"/>
      <c r="J375" s="89"/>
      <c r="K375" s="89"/>
      <c r="L375" s="89"/>
    </row>
    <row r="376" ht="14.25" customHeight="1">
      <c r="A376" s="89"/>
      <c r="B376" s="89"/>
      <c r="C376" s="89"/>
      <c r="D376" s="89"/>
      <c r="E376" s="90"/>
      <c r="G376" s="90"/>
      <c r="H376" s="89"/>
      <c r="I376" s="89"/>
      <c r="J376" s="89"/>
      <c r="K376" s="89"/>
      <c r="L376" s="89"/>
    </row>
    <row r="377" ht="14.25" customHeight="1">
      <c r="A377" s="89"/>
      <c r="B377" s="89"/>
      <c r="C377" s="89"/>
      <c r="D377" s="89"/>
      <c r="E377" s="90"/>
      <c r="G377" s="90"/>
      <c r="H377" s="89"/>
      <c r="I377" s="89"/>
      <c r="J377" s="89"/>
      <c r="K377" s="89"/>
      <c r="L377" s="89"/>
    </row>
    <row r="378" ht="14.25" customHeight="1">
      <c r="A378" s="89"/>
      <c r="B378" s="89"/>
      <c r="C378" s="89"/>
      <c r="D378" s="89"/>
      <c r="E378" s="90"/>
      <c r="G378" s="90"/>
      <c r="H378" s="89"/>
      <c r="I378" s="89"/>
      <c r="J378" s="89"/>
      <c r="K378" s="89"/>
      <c r="L378" s="89"/>
    </row>
    <row r="379" ht="14.25" customHeight="1">
      <c r="A379" s="89"/>
      <c r="B379" s="89"/>
      <c r="C379" s="89"/>
      <c r="D379" s="89"/>
      <c r="E379" s="90"/>
      <c r="G379" s="90"/>
      <c r="H379" s="89"/>
      <c r="I379" s="89"/>
      <c r="J379" s="89"/>
      <c r="K379" s="89"/>
      <c r="L379" s="89"/>
    </row>
    <row r="380" ht="14.25" customHeight="1">
      <c r="A380" s="89"/>
      <c r="B380" s="89"/>
      <c r="C380" s="89"/>
      <c r="D380" s="89"/>
      <c r="E380" s="90"/>
      <c r="G380" s="90"/>
      <c r="H380" s="89"/>
      <c r="I380" s="89"/>
      <c r="J380" s="89"/>
      <c r="K380" s="89"/>
      <c r="L380" s="89"/>
    </row>
    <row r="381" ht="14.25" customHeight="1">
      <c r="A381" s="89"/>
      <c r="B381" s="89"/>
      <c r="C381" s="89"/>
      <c r="D381" s="89"/>
      <c r="E381" s="90"/>
      <c r="G381" s="90"/>
      <c r="H381" s="89"/>
      <c r="I381" s="89"/>
      <c r="J381" s="89"/>
      <c r="K381" s="89"/>
      <c r="L381" s="89"/>
    </row>
    <row r="382" ht="14.25" customHeight="1">
      <c r="A382" s="89"/>
      <c r="B382" s="89"/>
      <c r="C382" s="89"/>
      <c r="D382" s="89"/>
      <c r="E382" s="90"/>
      <c r="G382" s="90"/>
      <c r="H382" s="89"/>
      <c r="I382" s="89"/>
      <c r="J382" s="89"/>
      <c r="K382" s="89"/>
      <c r="L382" s="89"/>
    </row>
    <row r="383" ht="14.25" customHeight="1">
      <c r="A383" s="89"/>
      <c r="B383" s="89"/>
      <c r="C383" s="89"/>
      <c r="D383" s="89"/>
      <c r="E383" s="90"/>
      <c r="G383" s="90"/>
      <c r="H383" s="89"/>
      <c r="I383" s="89"/>
      <c r="J383" s="89"/>
      <c r="K383" s="89"/>
      <c r="L383" s="89"/>
    </row>
    <row r="384" ht="14.25" customHeight="1">
      <c r="A384" s="89"/>
      <c r="B384" s="89"/>
      <c r="C384" s="89"/>
      <c r="D384" s="89"/>
      <c r="E384" s="90"/>
      <c r="G384" s="90"/>
      <c r="H384" s="89"/>
      <c r="I384" s="89"/>
      <c r="J384" s="89"/>
      <c r="K384" s="89"/>
      <c r="L384" s="89"/>
    </row>
    <row r="385" ht="14.25" customHeight="1">
      <c r="A385" s="89"/>
      <c r="B385" s="89"/>
      <c r="C385" s="89"/>
      <c r="D385" s="89"/>
      <c r="E385" s="90"/>
      <c r="G385" s="90"/>
      <c r="H385" s="89"/>
      <c r="I385" s="89"/>
      <c r="J385" s="89"/>
      <c r="K385" s="89"/>
      <c r="L385" s="89"/>
    </row>
    <row r="386" ht="14.25" customHeight="1">
      <c r="A386" s="89"/>
      <c r="B386" s="89"/>
      <c r="C386" s="89"/>
      <c r="D386" s="89"/>
      <c r="E386" s="90"/>
      <c r="G386" s="90"/>
      <c r="H386" s="89"/>
      <c r="I386" s="89"/>
      <c r="J386" s="89"/>
      <c r="K386" s="89"/>
      <c r="L386" s="89"/>
    </row>
    <row r="387" ht="14.25" customHeight="1">
      <c r="A387" s="89"/>
      <c r="B387" s="89"/>
      <c r="C387" s="89"/>
      <c r="D387" s="89"/>
      <c r="E387" s="90"/>
      <c r="G387" s="90"/>
      <c r="H387" s="89"/>
      <c r="I387" s="89"/>
      <c r="J387" s="89"/>
      <c r="K387" s="89"/>
      <c r="L387" s="89"/>
    </row>
    <row r="388" ht="14.25" customHeight="1">
      <c r="A388" s="89"/>
      <c r="B388" s="89"/>
      <c r="C388" s="89"/>
      <c r="D388" s="89"/>
      <c r="E388" s="90"/>
      <c r="G388" s="90"/>
      <c r="H388" s="89"/>
      <c r="I388" s="89"/>
      <c r="J388" s="89"/>
      <c r="K388" s="89"/>
      <c r="L388" s="89"/>
    </row>
    <row r="389" ht="14.25" customHeight="1">
      <c r="A389" s="89"/>
      <c r="B389" s="89"/>
      <c r="C389" s="89"/>
      <c r="D389" s="89"/>
      <c r="E389" s="90"/>
      <c r="G389" s="90"/>
      <c r="H389" s="89"/>
      <c r="I389" s="89"/>
      <c r="J389" s="89"/>
      <c r="K389" s="89"/>
      <c r="L389" s="89"/>
    </row>
    <row r="390" ht="14.25" customHeight="1">
      <c r="A390" s="89"/>
      <c r="B390" s="89"/>
      <c r="C390" s="89"/>
      <c r="D390" s="89"/>
      <c r="E390" s="90"/>
      <c r="G390" s="90"/>
      <c r="H390" s="89"/>
      <c r="I390" s="89"/>
      <c r="J390" s="89"/>
      <c r="K390" s="89"/>
      <c r="L390" s="89"/>
    </row>
    <row r="391" ht="14.25" customHeight="1">
      <c r="A391" s="89"/>
      <c r="B391" s="89"/>
      <c r="C391" s="89"/>
      <c r="D391" s="89"/>
      <c r="E391" s="90"/>
      <c r="G391" s="90"/>
      <c r="H391" s="89"/>
      <c r="I391" s="89"/>
      <c r="J391" s="89"/>
      <c r="K391" s="89"/>
      <c r="L391" s="89"/>
    </row>
    <row r="392" ht="14.25" customHeight="1">
      <c r="A392" s="89"/>
      <c r="B392" s="89"/>
      <c r="C392" s="89"/>
      <c r="D392" s="89"/>
      <c r="E392" s="90"/>
      <c r="G392" s="90"/>
      <c r="H392" s="89"/>
      <c r="I392" s="89"/>
      <c r="J392" s="89"/>
      <c r="K392" s="89"/>
      <c r="L392" s="89"/>
    </row>
    <row r="393" ht="14.25" customHeight="1">
      <c r="A393" s="89"/>
      <c r="B393" s="89"/>
      <c r="C393" s="89"/>
      <c r="D393" s="89"/>
      <c r="E393" s="90"/>
      <c r="G393" s="90"/>
      <c r="H393" s="89"/>
      <c r="I393" s="89"/>
      <c r="J393" s="89"/>
      <c r="K393" s="89"/>
      <c r="L393" s="89"/>
    </row>
    <row r="394" ht="14.25" customHeight="1">
      <c r="A394" s="89"/>
      <c r="B394" s="89"/>
      <c r="C394" s="89"/>
      <c r="D394" s="89"/>
      <c r="E394" s="90"/>
      <c r="G394" s="90"/>
      <c r="H394" s="89"/>
      <c r="I394" s="89"/>
      <c r="J394" s="89"/>
      <c r="K394" s="89"/>
      <c r="L394" s="89"/>
    </row>
    <row r="395" ht="14.25" customHeight="1">
      <c r="A395" s="89"/>
      <c r="B395" s="89"/>
      <c r="C395" s="89"/>
      <c r="D395" s="89"/>
      <c r="E395" s="90"/>
      <c r="G395" s="90"/>
      <c r="H395" s="89"/>
      <c r="I395" s="89"/>
      <c r="J395" s="89"/>
      <c r="K395" s="89"/>
      <c r="L395" s="89"/>
    </row>
    <row r="396" ht="14.25" customHeight="1">
      <c r="A396" s="89"/>
      <c r="B396" s="89"/>
      <c r="C396" s="89"/>
      <c r="D396" s="89"/>
      <c r="E396" s="90"/>
      <c r="G396" s="90"/>
      <c r="H396" s="89"/>
      <c r="I396" s="89"/>
      <c r="J396" s="89"/>
      <c r="K396" s="89"/>
      <c r="L396" s="89"/>
    </row>
    <row r="397" ht="14.25" customHeight="1">
      <c r="A397" s="89"/>
      <c r="B397" s="89"/>
      <c r="C397" s="89"/>
      <c r="D397" s="89"/>
      <c r="E397" s="90"/>
      <c r="G397" s="90"/>
      <c r="H397" s="89"/>
      <c r="I397" s="89"/>
      <c r="J397" s="89"/>
      <c r="K397" s="89"/>
      <c r="L397" s="89"/>
    </row>
    <row r="398" ht="14.25" customHeight="1">
      <c r="A398" s="89"/>
      <c r="B398" s="89"/>
      <c r="C398" s="89"/>
      <c r="D398" s="89"/>
      <c r="E398" s="90"/>
      <c r="G398" s="90"/>
      <c r="H398" s="89"/>
      <c r="I398" s="89"/>
      <c r="J398" s="89"/>
      <c r="K398" s="89"/>
      <c r="L398" s="89"/>
    </row>
    <row r="399" ht="14.25" customHeight="1">
      <c r="A399" s="89"/>
      <c r="B399" s="89"/>
      <c r="C399" s="89"/>
      <c r="D399" s="89"/>
      <c r="E399" s="90"/>
      <c r="G399" s="90"/>
      <c r="H399" s="89"/>
      <c r="I399" s="89"/>
      <c r="J399" s="89"/>
      <c r="K399" s="89"/>
      <c r="L399" s="89"/>
    </row>
    <row r="400" ht="14.25" customHeight="1">
      <c r="A400" s="89"/>
      <c r="B400" s="89"/>
      <c r="C400" s="89"/>
      <c r="D400" s="89"/>
      <c r="E400" s="90"/>
      <c r="G400" s="90"/>
      <c r="H400" s="89"/>
      <c r="I400" s="89"/>
      <c r="J400" s="89"/>
      <c r="K400" s="89"/>
      <c r="L400" s="89"/>
    </row>
    <row r="401" ht="14.25" customHeight="1">
      <c r="A401" s="89"/>
      <c r="B401" s="89"/>
      <c r="C401" s="89"/>
      <c r="D401" s="89"/>
      <c r="E401" s="90"/>
      <c r="G401" s="90"/>
      <c r="H401" s="89"/>
      <c r="I401" s="89"/>
      <c r="J401" s="89"/>
      <c r="K401" s="89"/>
      <c r="L401" s="89"/>
    </row>
    <row r="402" ht="14.25" customHeight="1">
      <c r="A402" s="89"/>
      <c r="B402" s="89"/>
      <c r="C402" s="89"/>
      <c r="D402" s="89"/>
      <c r="E402" s="90"/>
      <c r="G402" s="90"/>
      <c r="H402" s="89"/>
      <c r="I402" s="89"/>
      <c r="J402" s="89"/>
      <c r="K402" s="89"/>
      <c r="L402" s="89"/>
    </row>
    <row r="403" ht="14.25" customHeight="1">
      <c r="A403" s="89"/>
      <c r="B403" s="89"/>
      <c r="C403" s="89"/>
      <c r="D403" s="89"/>
      <c r="E403" s="90"/>
      <c r="G403" s="90"/>
      <c r="H403" s="89"/>
      <c r="I403" s="89"/>
      <c r="J403" s="89"/>
      <c r="K403" s="89"/>
      <c r="L403" s="89"/>
    </row>
    <row r="404" ht="14.25" customHeight="1">
      <c r="A404" s="89"/>
      <c r="B404" s="89"/>
      <c r="C404" s="89"/>
      <c r="D404" s="89"/>
      <c r="E404" s="90"/>
      <c r="G404" s="90"/>
      <c r="H404" s="89"/>
      <c r="I404" s="89"/>
      <c r="J404" s="89"/>
      <c r="K404" s="89"/>
      <c r="L404" s="89"/>
    </row>
    <row r="405" ht="14.25" customHeight="1">
      <c r="A405" s="89"/>
      <c r="B405" s="89"/>
      <c r="C405" s="89"/>
      <c r="D405" s="89"/>
      <c r="E405" s="90"/>
      <c r="G405" s="90"/>
      <c r="H405" s="89"/>
      <c r="I405" s="89"/>
      <c r="J405" s="89"/>
      <c r="K405" s="89"/>
      <c r="L405" s="89"/>
    </row>
    <row r="406" ht="14.25" customHeight="1">
      <c r="A406" s="89"/>
      <c r="B406" s="89"/>
      <c r="C406" s="89"/>
      <c r="D406" s="89"/>
      <c r="E406" s="90"/>
      <c r="G406" s="90"/>
      <c r="H406" s="89"/>
      <c r="I406" s="89"/>
      <c r="J406" s="89"/>
      <c r="K406" s="89"/>
      <c r="L406" s="89"/>
    </row>
    <row r="407" ht="14.25" customHeight="1">
      <c r="A407" s="89"/>
      <c r="B407" s="89"/>
      <c r="C407" s="89"/>
      <c r="D407" s="89"/>
      <c r="E407" s="90"/>
      <c r="G407" s="90"/>
      <c r="H407" s="89"/>
      <c r="I407" s="89"/>
      <c r="J407" s="89"/>
      <c r="K407" s="89"/>
      <c r="L407" s="89"/>
    </row>
    <row r="408" ht="14.25" customHeight="1">
      <c r="A408" s="89"/>
      <c r="B408" s="89"/>
      <c r="C408" s="89"/>
      <c r="D408" s="89"/>
      <c r="E408" s="90"/>
      <c r="G408" s="90"/>
      <c r="H408" s="89"/>
      <c r="I408" s="89"/>
      <c r="J408" s="89"/>
      <c r="K408" s="89"/>
      <c r="L408" s="89"/>
    </row>
    <row r="409" ht="14.25" customHeight="1">
      <c r="A409" s="89"/>
      <c r="B409" s="89"/>
      <c r="C409" s="89"/>
      <c r="D409" s="89"/>
      <c r="E409" s="90"/>
      <c r="G409" s="90"/>
      <c r="H409" s="89"/>
      <c r="I409" s="89"/>
      <c r="J409" s="89"/>
      <c r="K409" s="89"/>
      <c r="L409" s="89"/>
    </row>
    <row r="410" ht="14.25" customHeight="1">
      <c r="A410" s="89"/>
      <c r="B410" s="89"/>
      <c r="C410" s="89"/>
      <c r="D410" s="89"/>
      <c r="E410" s="90"/>
      <c r="G410" s="90"/>
      <c r="H410" s="89"/>
      <c r="I410" s="89"/>
      <c r="J410" s="89"/>
      <c r="K410" s="89"/>
      <c r="L410" s="89"/>
    </row>
    <row r="411" ht="14.25" customHeight="1">
      <c r="A411" s="89"/>
      <c r="B411" s="89"/>
      <c r="C411" s="89"/>
      <c r="D411" s="89"/>
      <c r="E411" s="90"/>
      <c r="G411" s="90"/>
      <c r="H411" s="89"/>
      <c r="I411" s="89"/>
      <c r="J411" s="89"/>
      <c r="K411" s="89"/>
      <c r="L411" s="89"/>
    </row>
    <row r="412" ht="14.25" customHeight="1">
      <c r="A412" s="89"/>
      <c r="B412" s="89"/>
      <c r="C412" s="89"/>
      <c r="D412" s="89"/>
      <c r="E412" s="90"/>
      <c r="G412" s="90"/>
      <c r="H412" s="89"/>
      <c r="I412" s="89"/>
      <c r="J412" s="89"/>
      <c r="K412" s="89"/>
      <c r="L412" s="89"/>
    </row>
    <row r="413" ht="14.25" customHeight="1">
      <c r="A413" s="89"/>
      <c r="B413" s="89"/>
      <c r="C413" s="89"/>
      <c r="D413" s="89"/>
      <c r="E413" s="90"/>
      <c r="G413" s="90"/>
      <c r="H413" s="89"/>
      <c r="I413" s="89"/>
      <c r="J413" s="89"/>
      <c r="K413" s="89"/>
      <c r="L413" s="89"/>
    </row>
    <row r="414" ht="14.25" customHeight="1">
      <c r="A414" s="89"/>
      <c r="B414" s="89"/>
      <c r="C414" s="89"/>
      <c r="D414" s="89"/>
      <c r="E414" s="90"/>
      <c r="G414" s="90"/>
      <c r="H414" s="89"/>
      <c r="I414" s="89"/>
      <c r="J414" s="89"/>
      <c r="K414" s="89"/>
      <c r="L414" s="89"/>
    </row>
    <row r="415" ht="14.25" customHeight="1">
      <c r="A415" s="89"/>
      <c r="B415" s="89"/>
      <c r="C415" s="89"/>
      <c r="D415" s="89"/>
      <c r="E415" s="90"/>
      <c r="G415" s="90"/>
      <c r="H415" s="89"/>
      <c r="I415" s="89"/>
      <c r="J415" s="89"/>
      <c r="K415" s="89"/>
      <c r="L415" s="89"/>
    </row>
    <row r="416" ht="14.25" customHeight="1">
      <c r="A416" s="89"/>
      <c r="B416" s="89"/>
      <c r="C416" s="89"/>
      <c r="D416" s="89"/>
      <c r="E416" s="90"/>
      <c r="G416" s="90"/>
      <c r="H416" s="89"/>
      <c r="I416" s="89"/>
      <c r="J416" s="89"/>
      <c r="K416" s="89"/>
      <c r="L416" s="89"/>
    </row>
    <row r="417" ht="14.25" customHeight="1">
      <c r="A417" s="89"/>
      <c r="B417" s="89"/>
      <c r="C417" s="89"/>
      <c r="D417" s="89"/>
      <c r="E417" s="90"/>
      <c r="G417" s="90"/>
      <c r="H417" s="89"/>
      <c r="I417" s="89"/>
      <c r="J417" s="89"/>
      <c r="K417" s="89"/>
      <c r="L417" s="89"/>
    </row>
    <row r="418" ht="14.25" customHeight="1">
      <c r="A418" s="89"/>
      <c r="B418" s="89"/>
      <c r="C418" s="89"/>
      <c r="D418" s="89"/>
      <c r="E418" s="90"/>
      <c r="G418" s="90"/>
      <c r="H418" s="89"/>
      <c r="I418" s="89"/>
      <c r="J418" s="89"/>
      <c r="K418" s="89"/>
      <c r="L418" s="89"/>
    </row>
    <row r="419" ht="14.25" customHeight="1">
      <c r="A419" s="89"/>
      <c r="B419" s="89"/>
      <c r="C419" s="89"/>
      <c r="D419" s="89"/>
      <c r="E419" s="90"/>
      <c r="G419" s="90"/>
      <c r="H419" s="89"/>
      <c r="I419" s="89"/>
      <c r="J419" s="89"/>
      <c r="K419" s="89"/>
      <c r="L419" s="89"/>
    </row>
    <row r="420" ht="14.25" customHeight="1">
      <c r="A420" s="89"/>
      <c r="B420" s="89"/>
      <c r="C420" s="89"/>
      <c r="D420" s="89"/>
      <c r="E420" s="90"/>
      <c r="G420" s="90"/>
      <c r="H420" s="89"/>
      <c r="I420" s="89"/>
      <c r="J420" s="89"/>
      <c r="K420" s="89"/>
      <c r="L420" s="89"/>
    </row>
    <row r="421" ht="14.25" customHeight="1">
      <c r="A421" s="89"/>
      <c r="B421" s="89"/>
      <c r="C421" s="89"/>
      <c r="D421" s="89"/>
      <c r="E421" s="90"/>
      <c r="G421" s="90"/>
      <c r="H421" s="89"/>
      <c r="I421" s="89"/>
      <c r="J421" s="89"/>
      <c r="K421" s="89"/>
      <c r="L421" s="89"/>
    </row>
    <row r="422" ht="14.25" customHeight="1">
      <c r="A422" s="89"/>
      <c r="B422" s="89"/>
      <c r="C422" s="89"/>
      <c r="D422" s="89"/>
      <c r="E422" s="90"/>
      <c r="G422" s="90"/>
      <c r="H422" s="89"/>
      <c r="I422" s="89"/>
      <c r="J422" s="89"/>
      <c r="K422" s="89"/>
      <c r="L422" s="89"/>
    </row>
    <row r="423" ht="14.25" customHeight="1">
      <c r="A423" s="89"/>
      <c r="B423" s="89"/>
      <c r="C423" s="89"/>
      <c r="D423" s="89"/>
      <c r="E423" s="90"/>
      <c r="G423" s="90"/>
      <c r="H423" s="89"/>
      <c r="I423" s="89"/>
      <c r="J423" s="89"/>
      <c r="K423" s="89"/>
      <c r="L423" s="89"/>
    </row>
    <row r="424" ht="14.25" customHeight="1">
      <c r="A424" s="89"/>
      <c r="B424" s="89"/>
      <c r="C424" s="89"/>
      <c r="D424" s="89"/>
      <c r="E424" s="90"/>
      <c r="G424" s="90"/>
      <c r="H424" s="89"/>
      <c r="I424" s="89"/>
      <c r="J424" s="89"/>
      <c r="K424" s="89"/>
      <c r="L424" s="89"/>
    </row>
    <row r="425" ht="14.25" customHeight="1">
      <c r="A425" s="89"/>
      <c r="B425" s="89"/>
      <c r="C425" s="89"/>
      <c r="D425" s="89"/>
      <c r="E425" s="90"/>
      <c r="G425" s="90"/>
      <c r="H425" s="89"/>
      <c r="I425" s="89"/>
      <c r="J425" s="89"/>
      <c r="K425" s="89"/>
      <c r="L425" s="89"/>
    </row>
    <row r="426" ht="14.25" customHeight="1">
      <c r="A426" s="89"/>
      <c r="B426" s="89"/>
      <c r="C426" s="89"/>
      <c r="D426" s="89"/>
      <c r="E426" s="90"/>
      <c r="G426" s="90"/>
      <c r="H426" s="89"/>
      <c r="I426" s="89"/>
      <c r="J426" s="89"/>
      <c r="K426" s="89"/>
      <c r="L426" s="89"/>
    </row>
    <row r="427" ht="14.25" customHeight="1">
      <c r="A427" s="89"/>
      <c r="B427" s="89"/>
      <c r="C427" s="89"/>
      <c r="D427" s="89"/>
      <c r="E427" s="90"/>
      <c r="G427" s="90"/>
      <c r="H427" s="89"/>
      <c r="I427" s="89"/>
      <c r="J427" s="89"/>
      <c r="K427" s="89"/>
      <c r="L427" s="89"/>
    </row>
    <row r="428" ht="14.25" customHeight="1">
      <c r="A428" s="89"/>
      <c r="B428" s="89"/>
      <c r="C428" s="89"/>
      <c r="D428" s="89"/>
      <c r="E428" s="90"/>
      <c r="G428" s="90"/>
      <c r="H428" s="89"/>
      <c r="I428" s="89"/>
      <c r="J428" s="89"/>
      <c r="K428" s="89"/>
      <c r="L428" s="89"/>
    </row>
    <row r="429" ht="14.25" customHeight="1">
      <c r="A429" s="89"/>
      <c r="B429" s="89"/>
      <c r="C429" s="89"/>
      <c r="D429" s="89"/>
      <c r="E429" s="90"/>
      <c r="G429" s="90"/>
      <c r="H429" s="89"/>
      <c r="I429" s="89"/>
      <c r="J429" s="89"/>
      <c r="K429" s="89"/>
      <c r="L429" s="89"/>
    </row>
    <row r="430" ht="14.25" customHeight="1">
      <c r="A430" s="89"/>
      <c r="B430" s="89"/>
      <c r="C430" s="89"/>
      <c r="D430" s="89"/>
      <c r="E430" s="90"/>
      <c r="G430" s="90"/>
      <c r="H430" s="89"/>
      <c r="I430" s="89"/>
      <c r="J430" s="89"/>
      <c r="K430" s="89"/>
      <c r="L430" s="89"/>
    </row>
    <row r="431" ht="14.25" customHeight="1">
      <c r="A431" s="89"/>
      <c r="B431" s="89"/>
      <c r="C431" s="89"/>
      <c r="D431" s="89"/>
      <c r="E431" s="90"/>
      <c r="G431" s="90"/>
      <c r="H431" s="89"/>
      <c r="I431" s="89"/>
      <c r="J431" s="89"/>
      <c r="K431" s="89"/>
      <c r="L431" s="89"/>
    </row>
    <row r="432" ht="14.25" customHeight="1">
      <c r="A432" s="89"/>
      <c r="B432" s="89"/>
      <c r="C432" s="89"/>
      <c r="D432" s="89"/>
      <c r="E432" s="90"/>
      <c r="G432" s="90"/>
      <c r="H432" s="89"/>
      <c r="I432" s="89"/>
      <c r="J432" s="89"/>
      <c r="K432" s="89"/>
      <c r="L432" s="89"/>
    </row>
    <row r="433" ht="14.25" customHeight="1">
      <c r="A433" s="89"/>
      <c r="B433" s="89"/>
      <c r="C433" s="89"/>
      <c r="D433" s="89"/>
      <c r="E433" s="90"/>
      <c r="G433" s="90"/>
      <c r="H433" s="89"/>
      <c r="I433" s="89"/>
      <c r="J433" s="89"/>
      <c r="K433" s="89"/>
      <c r="L433" s="89"/>
    </row>
    <row r="434" ht="14.25" customHeight="1">
      <c r="A434" s="89"/>
      <c r="B434" s="89"/>
      <c r="C434" s="89"/>
      <c r="D434" s="89"/>
      <c r="E434" s="90"/>
      <c r="G434" s="90"/>
      <c r="H434" s="89"/>
      <c r="I434" s="89"/>
      <c r="J434" s="89"/>
      <c r="K434" s="89"/>
      <c r="L434" s="89"/>
    </row>
    <row r="435" ht="14.25" customHeight="1">
      <c r="A435" s="89"/>
      <c r="B435" s="89"/>
      <c r="C435" s="89"/>
      <c r="D435" s="89"/>
      <c r="E435" s="90"/>
      <c r="G435" s="90"/>
      <c r="H435" s="89"/>
      <c r="I435" s="89"/>
      <c r="J435" s="89"/>
      <c r="K435" s="89"/>
      <c r="L435" s="89"/>
    </row>
    <row r="436" ht="14.25" customHeight="1">
      <c r="A436" s="89"/>
      <c r="B436" s="89"/>
      <c r="C436" s="89"/>
      <c r="D436" s="89"/>
      <c r="E436" s="90"/>
      <c r="G436" s="90"/>
      <c r="H436" s="89"/>
      <c r="I436" s="89"/>
      <c r="J436" s="89"/>
      <c r="K436" s="89"/>
      <c r="L436" s="89"/>
    </row>
    <row r="437" ht="14.25" customHeight="1">
      <c r="A437" s="89"/>
      <c r="B437" s="89"/>
      <c r="C437" s="89"/>
      <c r="D437" s="89"/>
      <c r="E437" s="90"/>
      <c r="G437" s="90"/>
      <c r="H437" s="89"/>
      <c r="I437" s="89"/>
      <c r="J437" s="89"/>
      <c r="K437" s="89"/>
      <c r="L437" s="89"/>
    </row>
    <row r="438" ht="14.25" customHeight="1">
      <c r="A438" s="89"/>
      <c r="B438" s="89"/>
      <c r="C438" s="89"/>
      <c r="D438" s="89"/>
      <c r="E438" s="90"/>
      <c r="G438" s="90"/>
      <c r="H438" s="89"/>
      <c r="I438" s="89"/>
      <c r="J438" s="89"/>
      <c r="K438" s="89"/>
      <c r="L438" s="89"/>
    </row>
    <row r="439" ht="14.25" customHeight="1">
      <c r="A439" s="89"/>
      <c r="B439" s="89"/>
      <c r="C439" s="89"/>
      <c r="D439" s="89"/>
      <c r="E439" s="90"/>
      <c r="G439" s="90"/>
      <c r="H439" s="89"/>
      <c r="I439" s="89"/>
      <c r="J439" s="89"/>
      <c r="K439" s="89"/>
      <c r="L439" s="89"/>
    </row>
    <row r="440" ht="14.25" customHeight="1">
      <c r="A440" s="89"/>
      <c r="B440" s="89"/>
      <c r="C440" s="89"/>
      <c r="D440" s="89"/>
      <c r="E440" s="90"/>
      <c r="G440" s="90"/>
      <c r="H440" s="89"/>
      <c r="I440" s="89"/>
      <c r="J440" s="89"/>
      <c r="K440" s="89"/>
      <c r="L440" s="89"/>
    </row>
    <row r="441" ht="14.25" customHeight="1">
      <c r="A441" s="89"/>
      <c r="B441" s="89"/>
      <c r="C441" s="89"/>
      <c r="D441" s="89"/>
      <c r="E441" s="90"/>
      <c r="G441" s="90"/>
      <c r="H441" s="89"/>
      <c r="I441" s="89"/>
      <c r="J441" s="89"/>
      <c r="K441" s="89"/>
      <c r="L441" s="89"/>
    </row>
    <row r="442" ht="14.25" customHeight="1">
      <c r="A442" s="89"/>
      <c r="B442" s="89"/>
      <c r="C442" s="89"/>
      <c r="D442" s="89"/>
      <c r="E442" s="90"/>
      <c r="G442" s="90"/>
      <c r="H442" s="89"/>
      <c r="I442" s="89"/>
      <c r="J442" s="89"/>
      <c r="K442" s="89"/>
      <c r="L442" s="89"/>
    </row>
    <row r="443" ht="14.25" customHeight="1">
      <c r="A443" s="89"/>
      <c r="B443" s="89"/>
      <c r="C443" s="89"/>
      <c r="D443" s="89"/>
      <c r="E443" s="90"/>
      <c r="G443" s="90"/>
      <c r="H443" s="89"/>
      <c r="I443" s="89"/>
      <c r="J443" s="89"/>
      <c r="K443" s="89"/>
      <c r="L443" s="89"/>
    </row>
    <row r="444" ht="14.25" customHeight="1">
      <c r="A444" s="89"/>
      <c r="B444" s="89"/>
      <c r="C444" s="89"/>
      <c r="D444" s="89"/>
      <c r="E444" s="90"/>
      <c r="G444" s="90"/>
      <c r="H444" s="89"/>
      <c r="I444" s="89"/>
      <c r="J444" s="89"/>
      <c r="K444" s="89"/>
      <c r="L444" s="89"/>
    </row>
    <row r="445" ht="14.25" customHeight="1">
      <c r="A445" s="89"/>
      <c r="B445" s="89"/>
      <c r="C445" s="89"/>
      <c r="D445" s="89"/>
      <c r="E445" s="90"/>
      <c r="G445" s="90"/>
      <c r="H445" s="89"/>
      <c r="I445" s="89"/>
      <c r="J445" s="89"/>
      <c r="K445" s="89"/>
      <c r="L445" s="89"/>
    </row>
    <row r="446" ht="14.25" customHeight="1">
      <c r="A446" s="89"/>
      <c r="B446" s="89"/>
      <c r="C446" s="89"/>
      <c r="D446" s="89"/>
      <c r="E446" s="90"/>
      <c r="G446" s="90"/>
      <c r="H446" s="89"/>
      <c r="I446" s="89"/>
      <c r="J446" s="89"/>
      <c r="K446" s="89"/>
      <c r="L446" s="89"/>
    </row>
    <row r="447" ht="14.25" customHeight="1">
      <c r="A447" s="89"/>
      <c r="B447" s="89"/>
      <c r="C447" s="89"/>
      <c r="D447" s="89"/>
      <c r="E447" s="90"/>
      <c r="G447" s="90"/>
      <c r="H447" s="89"/>
      <c r="I447" s="89"/>
      <c r="J447" s="89"/>
      <c r="K447" s="89"/>
      <c r="L447" s="89"/>
    </row>
    <row r="448" ht="14.25" customHeight="1">
      <c r="A448" s="89"/>
      <c r="B448" s="89"/>
      <c r="C448" s="89"/>
      <c r="D448" s="89"/>
      <c r="E448" s="90"/>
      <c r="G448" s="90"/>
      <c r="H448" s="89"/>
      <c r="I448" s="89"/>
      <c r="J448" s="89"/>
      <c r="K448" s="89"/>
      <c r="L448" s="89"/>
    </row>
    <row r="449" ht="14.25" customHeight="1">
      <c r="A449" s="89"/>
      <c r="B449" s="89"/>
      <c r="C449" s="89"/>
      <c r="D449" s="89"/>
      <c r="E449" s="90"/>
      <c r="G449" s="90"/>
      <c r="H449" s="89"/>
      <c r="I449" s="89"/>
      <c r="J449" s="89"/>
      <c r="K449" s="89"/>
      <c r="L449" s="89"/>
    </row>
    <row r="450" ht="14.25" customHeight="1">
      <c r="A450" s="89"/>
      <c r="B450" s="89"/>
      <c r="C450" s="89"/>
      <c r="D450" s="89"/>
      <c r="E450" s="90"/>
      <c r="G450" s="90"/>
      <c r="H450" s="89"/>
      <c r="I450" s="89"/>
      <c r="J450" s="89"/>
      <c r="K450" s="89"/>
      <c r="L450" s="89"/>
    </row>
    <row r="451" ht="14.25" customHeight="1">
      <c r="A451" s="89"/>
      <c r="B451" s="89"/>
      <c r="C451" s="89"/>
      <c r="D451" s="89"/>
      <c r="E451" s="90"/>
      <c r="G451" s="90"/>
      <c r="H451" s="89"/>
      <c r="I451" s="89"/>
      <c r="J451" s="89"/>
      <c r="K451" s="89"/>
      <c r="L451" s="89"/>
    </row>
    <row r="452" ht="14.25" customHeight="1">
      <c r="A452" s="89"/>
      <c r="B452" s="89"/>
      <c r="C452" s="89"/>
      <c r="D452" s="89"/>
      <c r="E452" s="90"/>
      <c r="G452" s="90"/>
      <c r="H452" s="89"/>
      <c r="I452" s="89"/>
      <c r="J452" s="89"/>
      <c r="K452" s="89"/>
      <c r="L452" s="89"/>
    </row>
    <row r="453" ht="14.25" customHeight="1">
      <c r="A453" s="89"/>
      <c r="B453" s="89"/>
      <c r="C453" s="89"/>
      <c r="D453" s="89"/>
      <c r="E453" s="90"/>
      <c r="G453" s="90"/>
      <c r="H453" s="89"/>
      <c r="I453" s="89"/>
      <c r="J453" s="89"/>
      <c r="K453" s="89"/>
      <c r="L453" s="89"/>
    </row>
    <row r="454" ht="14.25" customHeight="1">
      <c r="A454" s="89"/>
      <c r="B454" s="89"/>
      <c r="C454" s="89"/>
      <c r="D454" s="89"/>
      <c r="E454" s="90"/>
      <c r="G454" s="90"/>
      <c r="H454" s="89"/>
      <c r="I454" s="89"/>
      <c r="J454" s="89"/>
      <c r="K454" s="89"/>
      <c r="L454" s="89"/>
    </row>
    <row r="455" ht="14.25" customHeight="1">
      <c r="A455" s="89"/>
      <c r="B455" s="89"/>
      <c r="C455" s="89"/>
      <c r="D455" s="89"/>
      <c r="E455" s="90"/>
      <c r="G455" s="90"/>
      <c r="H455" s="89"/>
      <c r="I455" s="89"/>
      <c r="J455" s="89"/>
      <c r="K455" s="89"/>
      <c r="L455" s="89"/>
    </row>
    <row r="456" ht="14.25" customHeight="1">
      <c r="A456" s="89"/>
      <c r="B456" s="89"/>
      <c r="C456" s="89"/>
      <c r="D456" s="89"/>
      <c r="E456" s="90"/>
      <c r="G456" s="90"/>
      <c r="H456" s="89"/>
      <c r="I456" s="89"/>
      <c r="J456" s="89"/>
      <c r="K456" s="89"/>
      <c r="L456" s="89"/>
    </row>
    <row r="457" ht="14.25" customHeight="1">
      <c r="A457" s="89"/>
      <c r="B457" s="89"/>
      <c r="C457" s="89"/>
      <c r="D457" s="89"/>
      <c r="E457" s="90"/>
      <c r="G457" s="90"/>
      <c r="H457" s="89"/>
      <c r="I457" s="89"/>
      <c r="J457" s="89"/>
      <c r="K457" s="89"/>
      <c r="L457" s="89"/>
    </row>
    <row r="458" ht="14.25" customHeight="1">
      <c r="A458" s="89"/>
      <c r="B458" s="89"/>
      <c r="C458" s="89"/>
      <c r="D458" s="89"/>
      <c r="E458" s="90"/>
      <c r="G458" s="90"/>
      <c r="H458" s="89"/>
      <c r="I458" s="89"/>
      <c r="J458" s="89"/>
      <c r="K458" s="89"/>
      <c r="L458" s="89"/>
    </row>
    <row r="459" ht="14.25" customHeight="1">
      <c r="A459" s="89"/>
      <c r="B459" s="89"/>
      <c r="C459" s="89"/>
      <c r="D459" s="89"/>
      <c r="E459" s="90"/>
      <c r="G459" s="90"/>
      <c r="H459" s="89"/>
      <c r="I459" s="89"/>
      <c r="J459" s="89"/>
      <c r="K459" s="89"/>
      <c r="L459" s="89"/>
    </row>
    <row r="460" ht="14.25" customHeight="1">
      <c r="A460" s="89"/>
      <c r="B460" s="89"/>
      <c r="C460" s="89"/>
      <c r="D460" s="89"/>
      <c r="E460" s="90"/>
      <c r="G460" s="90"/>
      <c r="H460" s="89"/>
      <c r="I460" s="89"/>
      <c r="J460" s="89"/>
      <c r="K460" s="89"/>
      <c r="L460" s="89"/>
    </row>
    <row r="461" ht="14.25" customHeight="1">
      <c r="A461" s="89"/>
      <c r="B461" s="89"/>
      <c r="C461" s="89"/>
      <c r="D461" s="89"/>
      <c r="E461" s="90"/>
      <c r="G461" s="90"/>
      <c r="H461" s="89"/>
      <c r="I461" s="89"/>
      <c r="J461" s="89"/>
      <c r="K461" s="89"/>
      <c r="L461" s="89"/>
    </row>
    <row r="462" ht="14.25" customHeight="1">
      <c r="A462" s="89"/>
      <c r="B462" s="89"/>
      <c r="C462" s="89"/>
      <c r="D462" s="89"/>
      <c r="E462" s="90"/>
      <c r="G462" s="90"/>
      <c r="H462" s="89"/>
      <c r="I462" s="89"/>
      <c r="J462" s="89"/>
      <c r="K462" s="89"/>
      <c r="L462" s="89"/>
    </row>
    <row r="463" ht="14.25" customHeight="1">
      <c r="A463" s="89"/>
      <c r="B463" s="89"/>
      <c r="C463" s="89"/>
      <c r="D463" s="89"/>
      <c r="E463" s="90"/>
      <c r="G463" s="90"/>
      <c r="H463" s="89"/>
      <c r="I463" s="89"/>
      <c r="J463" s="89"/>
      <c r="K463" s="89"/>
      <c r="L463" s="89"/>
    </row>
    <row r="464" ht="14.25" customHeight="1">
      <c r="A464" s="89"/>
      <c r="B464" s="89"/>
      <c r="C464" s="89"/>
      <c r="D464" s="89"/>
      <c r="E464" s="90"/>
      <c r="G464" s="90"/>
      <c r="H464" s="89"/>
      <c r="I464" s="89"/>
      <c r="J464" s="89"/>
      <c r="K464" s="89"/>
      <c r="L464" s="89"/>
    </row>
    <row r="465" ht="14.25" customHeight="1">
      <c r="A465" s="89"/>
      <c r="B465" s="89"/>
      <c r="C465" s="89"/>
      <c r="D465" s="89"/>
      <c r="E465" s="90"/>
      <c r="G465" s="90"/>
      <c r="H465" s="89"/>
      <c r="I465" s="89"/>
      <c r="J465" s="89"/>
      <c r="K465" s="89"/>
      <c r="L465" s="89"/>
    </row>
    <row r="466" ht="14.25" customHeight="1">
      <c r="A466" s="89"/>
      <c r="B466" s="89"/>
      <c r="C466" s="89"/>
      <c r="D466" s="89"/>
      <c r="E466" s="90"/>
      <c r="G466" s="90"/>
      <c r="H466" s="89"/>
      <c r="I466" s="89"/>
      <c r="J466" s="89"/>
      <c r="K466" s="89"/>
      <c r="L466" s="89"/>
    </row>
    <row r="467" ht="14.25" customHeight="1">
      <c r="A467" s="89"/>
      <c r="B467" s="89"/>
      <c r="C467" s="89"/>
      <c r="D467" s="89"/>
      <c r="E467" s="90"/>
      <c r="G467" s="90"/>
      <c r="H467" s="89"/>
      <c r="I467" s="89"/>
      <c r="J467" s="89"/>
      <c r="K467" s="89"/>
      <c r="L467" s="89"/>
    </row>
    <row r="468" ht="14.25" customHeight="1">
      <c r="A468" s="89"/>
      <c r="B468" s="89"/>
      <c r="C468" s="89"/>
      <c r="D468" s="89"/>
      <c r="E468" s="90"/>
      <c r="G468" s="90"/>
      <c r="H468" s="89"/>
      <c r="I468" s="89"/>
      <c r="J468" s="89"/>
      <c r="K468" s="89"/>
      <c r="L468" s="89"/>
    </row>
    <row r="469" ht="14.25" customHeight="1">
      <c r="A469" s="89"/>
      <c r="B469" s="89"/>
      <c r="C469" s="89"/>
      <c r="D469" s="89"/>
      <c r="E469" s="90"/>
      <c r="G469" s="90"/>
      <c r="H469" s="89"/>
      <c r="I469" s="89"/>
      <c r="J469" s="89"/>
      <c r="K469" s="89"/>
      <c r="L469" s="89"/>
    </row>
    <row r="470" ht="14.25" customHeight="1">
      <c r="A470" s="89"/>
      <c r="B470" s="89"/>
      <c r="C470" s="89"/>
      <c r="D470" s="89"/>
      <c r="E470" s="90"/>
      <c r="G470" s="90"/>
      <c r="H470" s="89"/>
      <c r="I470" s="89"/>
      <c r="J470" s="89"/>
      <c r="K470" s="89"/>
      <c r="L470" s="89"/>
    </row>
    <row r="471" ht="14.25" customHeight="1">
      <c r="A471" s="89"/>
      <c r="B471" s="89"/>
      <c r="C471" s="89"/>
      <c r="D471" s="89"/>
      <c r="E471" s="90"/>
      <c r="G471" s="90"/>
      <c r="H471" s="89"/>
      <c r="I471" s="89"/>
      <c r="J471" s="89"/>
      <c r="K471" s="89"/>
      <c r="L471" s="89"/>
    </row>
    <row r="472" ht="14.25" customHeight="1">
      <c r="A472" s="89"/>
      <c r="B472" s="89"/>
      <c r="C472" s="89"/>
      <c r="D472" s="89"/>
      <c r="E472" s="90"/>
      <c r="G472" s="90"/>
      <c r="H472" s="89"/>
      <c r="I472" s="89"/>
      <c r="J472" s="89"/>
      <c r="K472" s="89"/>
      <c r="L472" s="89"/>
    </row>
    <row r="473" ht="14.25" customHeight="1">
      <c r="A473" s="89"/>
      <c r="B473" s="89"/>
      <c r="C473" s="89"/>
      <c r="D473" s="89"/>
      <c r="E473" s="90"/>
      <c r="G473" s="90"/>
      <c r="H473" s="89"/>
      <c r="I473" s="89"/>
      <c r="J473" s="89"/>
      <c r="K473" s="89"/>
      <c r="L473" s="89"/>
    </row>
    <row r="474" ht="14.25" customHeight="1">
      <c r="A474" s="89"/>
      <c r="B474" s="89"/>
      <c r="C474" s="89"/>
      <c r="D474" s="89"/>
      <c r="E474" s="90"/>
      <c r="G474" s="90"/>
      <c r="H474" s="89"/>
      <c r="I474" s="89"/>
      <c r="J474" s="89"/>
      <c r="K474" s="89"/>
      <c r="L474" s="89"/>
    </row>
    <row r="475" ht="14.25" customHeight="1">
      <c r="A475" s="89"/>
      <c r="B475" s="89"/>
      <c r="C475" s="89"/>
      <c r="D475" s="89"/>
      <c r="E475" s="90"/>
      <c r="G475" s="90"/>
      <c r="H475" s="89"/>
      <c r="I475" s="89"/>
      <c r="J475" s="89"/>
      <c r="K475" s="89"/>
      <c r="L475" s="89"/>
    </row>
    <row r="476" ht="14.25" customHeight="1">
      <c r="A476" s="89"/>
      <c r="B476" s="89"/>
      <c r="C476" s="89"/>
      <c r="D476" s="89"/>
      <c r="E476" s="90"/>
      <c r="G476" s="90"/>
      <c r="H476" s="89"/>
      <c r="I476" s="89"/>
      <c r="J476" s="89"/>
      <c r="K476" s="89"/>
      <c r="L476" s="89"/>
    </row>
    <row r="477" ht="14.25" customHeight="1">
      <c r="A477" s="89"/>
      <c r="B477" s="89"/>
      <c r="C477" s="89"/>
      <c r="D477" s="89"/>
      <c r="E477" s="90"/>
      <c r="G477" s="90"/>
      <c r="H477" s="89"/>
      <c r="I477" s="89"/>
      <c r="J477" s="89"/>
      <c r="K477" s="89"/>
      <c r="L477" s="89"/>
    </row>
    <row r="478" ht="14.25" customHeight="1">
      <c r="A478" s="89"/>
      <c r="B478" s="89"/>
      <c r="C478" s="89"/>
      <c r="D478" s="89"/>
      <c r="E478" s="90"/>
      <c r="G478" s="90"/>
      <c r="H478" s="89"/>
      <c r="I478" s="89"/>
      <c r="J478" s="89"/>
      <c r="K478" s="89"/>
      <c r="L478" s="89"/>
    </row>
    <row r="479" ht="14.25" customHeight="1">
      <c r="A479" s="89"/>
      <c r="B479" s="89"/>
      <c r="C479" s="89"/>
      <c r="D479" s="89"/>
      <c r="E479" s="90"/>
      <c r="G479" s="90"/>
      <c r="H479" s="89"/>
      <c r="I479" s="89"/>
      <c r="J479" s="89"/>
      <c r="K479" s="89"/>
      <c r="L479" s="89"/>
    </row>
    <row r="480" ht="14.25" customHeight="1">
      <c r="A480" s="89"/>
      <c r="B480" s="89"/>
      <c r="C480" s="89"/>
      <c r="D480" s="89"/>
      <c r="E480" s="90"/>
      <c r="G480" s="90"/>
      <c r="H480" s="89"/>
      <c r="I480" s="89"/>
      <c r="J480" s="89"/>
      <c r="K480" s="89"/>
      <c r="L480" s="89"/>
    </row>
    <row r="481" ht="14.25" customHeight="1">
      <c r="A481" s="89"/>
      <c r="B481" s="89"/>
      <c r="C481" s="89"/>
      <c r="D481" s="89"/>
      <c r="E481" s="90"/>
      <c r="G481" s="90"/>
      <c r="H481" s="89"/>
      <c r="I481" s="89"/>
      <c r="J481" s="89"/>
      <c r="K481" s="89"/>
      <c r="L481" s="89"/>
    </row>
    <row r="482" ht="14.25" customHeight="1">
      <c r="A482" s="89"/>
      <c r="B482" s="89"/>
      <c r="C482" s="89"/>
      <c r="D482" s="89"/>
      <c r="E482" s="90"/>
      <c r="G482" s="90"/>
      <c r="H482" s="89"/>
      <c r="I482" s="89"/>
      <c r="J482" s="89"/>
      <c r="K482" s="89"/>
      <c r="L482" s="89"/>
    </row>
    <row r="483" ht="14.25" customHeight="1">
      <c r="A483" s="89"/>
      <c r="B483" s="89"/>
      <c r="C483" s="89"/>
      <c r="D483" s="89"/>
      <c r="E483" s="90"/>
      <c r="G483" s="90"/>
      <c r="H483" s="89"/>
      <c r="I483" s="89"/>
      <c r="J483" s="89"/>
      <c r="K483" s="89"/>
      <c r="L483" s="89"/>
    </row>
    <row r="484" ht="14.25" customHeight="1">
      <c r="A484" s="89"/>
      <c r="B484" s="89"/>
      <c r="C484" s="89"/>
      <c r="D484" s="89"/>
      <c r="E484" s="90"/>
      <c r="G484" s="90"/>
      <c r="H484" s="89"/>
      <c r="I484" s="89"/>
      <c r="J484" s="89"/>
      <c r="K484" s="89"/>
      <c r="L484" s="89"/>
    </row>
    <row r="485" ht="14.25" customHeight="1">
      <c r="A485" s="89"/>
      <c r="B485" s="89"/>
      <c r="C485" s="89"/>
      <c r="D485" s="89"/>
      <c r="E485" s="90"/>
      <c r="G485" s="90"/>
      <c r="H485" s="89"/>
      <c r="I485" s="89"/>
      <c r="J485" s="89"/>
      <c r="K485" s="89"/>
      <c r="L485" s="89"/>
    </row>
    <row r="486" ht="14.25" customHeight="1">
      <c r="A486" s="89"/>
      <c r="B486" s="89"/>
      <c r="C486" s="89"/>
      <c r="D486" s="89"/>
      <c r="E486" s="90"/>
      <c r="G486" s="90"/>
      <c r="H486" s="89"/>
      <c r="I486" s="89"/>
      <c r="J486" s="89"/>
      <c r="K486" s="89"/>
      <c r="L486" s="89"/>
    </row>
    <row r="487" ht="14.25" customHeight="1">
      <c r="A487" s="89"/>
      <c r="B487" s="89"/>
      <c r="C487" s="89"/>
      <c r="D487" s="89"/>
      <c r="E487" s="90"/>
      <c r="G487" s="90"/>
      <c r="H487" s="89"/>
      <c r="I487" s="89"/>
      <c r="J487" s="89"/>
      <c r="K487" s="89"/>
      <c r="L487" s="89"/>
    </row>
    <row r="488" ht="14.25" customHeight="1">
      <c r="A488" s="89"/>
      <c r="B488" s="89"/>
      <c r="C488" s="89"/>
      <c r="D488" s="89"/>
      <c r="E488" s="90"/>
      <c r="G488" s="90"/>
      <c r="H488" s="89"/>
      <c r="I488" s="89"/>
      <c r="J488" s="89"/>
      <c r="K488" s="89"/>
      <c r="L488" s="89"/>
    </row>
    <row r="489" ht="14.25" customHeight="1">
      <c r="A489" s="89"/>
      <c r="B489" s="89"/>
      <c r="C489" s="89"/>
      <c r="D489" s="89"/>
      <c r="E489" s="90"/>
      <c r="G489" s="90"/>
      <c r="H489" s="89"/>
      <c r="I489" s="89"/>
      <c r="J489" s="89"/>
      <c r="K489" s="89"/>
      <c r="L489" s="89"/>
    </row>
    <row r="490" ht="14.25" customHeight="1">
      <c r="A490" s="89"/>
      <c r="B490" s="89"/>
      <c r="C490" s="89"/>
      <c r="D490" s="89"/>
      <c r="E490" s="90"/>
      <c r="G490" s="90"/>
      <c r="H490" s="89"/>
      <c r="I490" s="89"/>
      <c r="J490" s="89"/>
      <c r="K490" s="89"/>
      <c r="L490" s="89"/>
    </row>
    <row r="491" ht="14.25" customHeight="1">
      <c r="A491" s="89"/>
      <c r="B491" s="89"/>
      <c r="C491" s="89"/>
      <c r="D491" s="89"/>
      <c r="E491" s="90"/>
      <c r="G491" s="90"/>
      <c r="H491" s="89"/>
      <c r="I491" s="89"/>
      <c r="J491" s="89"/>
      <c r="K491" s="89"/>
      <c r="L491" s="89"/>
    </row>
    <row r="492" ht="14.25" customHeight="1">
      <c r="A492" s="89"/>
      <c r="B492" s="89"/>
      <c r="C492" s="89"/>
      <c r="D492" s="89"/>
      <c r="E492" s="90"/>
      <c r="G492" s="90"/>
      <c r="H492" s="89"/>
      <c r="I492" s="89"/>
      <c r="J492" s="89"/>
      <c r="K492" s="89"/>
      <c r="L492" s="89"/>
    </row>
    <row r="493" ht="14.25" customHeight="1">
      <c r="A493" s="89"/>
      <c r="B493" s="89"/>
      <c r="C493" s="89"/>
      <c r="D493" s="89"/>
      <c r="E493" s="90"/>
      <c r="G493" s="90"/>
      <c r="H493" s="89"/>
      <c r="I493" s="89"/>
      <c r="J493" s="89"/>
      <c r="K493" s="89"/>
      <c r="L493" s="89"/>
    </row>
    <row r="494" ht="14.25" customHeight="1">
      <c r="A494" s="89"/>
      <c r="B494" s="89"/>
      <c r="C494" s="89"/>
      <c r="D494" s="89"/>
      <c r="E494" s="90"/>
      <c r="G494" s="90"/>
      <c r="H494" s="89"/>
      <c r="I494" s="89"/>
      <c r="J494" s="89"/>
      <c r="K494" s="89"/>
      <c r="L494" s="89"/>
    </row>
    <row r="495" ht="14.25" customHeight="1">
      <c r="A495" s="89"/>
      <c r="B495" s="89"/>
      <c r="C495" s="89"/>
      <c r="D495" s="89"/>
      <c r="E495" s="90"/>
      <c r="G495" s="90"/>
      <c r="H495" s="89"/>
      <c r="I495" s="89"/>
      <c r="J495" s="89"/>
      <c r="K495" s="89"/>
      <c r="L495" s="89"/>
    </row>
    <row r="496" ht="14.25" customHeight="1">
      <c r="A496" s="89"/>
      <c r="B496" s="89"/>
      <c r="C496" s="89"/>
      <c r="D496" s="89"/>
      <c r="E496" s="90"/>
      <c r="G496" s="90"/>
      <c r="H496" s="89"/>
      <c r="I496" s="89"/>
      <c r="J496" s="89"/>
      <c r="K496" s="89"/>
      <c r="L496" s="89"/>
    </row>
    <row r="497" ht="14.25" customHeight="1">
      <c r="A497" s="89"/>
      <c r="B497" s="89"/>
      <c r="C497" s="89"/>
      <c r="D497" s="89"/>
      <c r="E497" s="90"/>
      <c r="G497" s="90"/>
      <c r="H497" s="89"/>
      <c r="I497" s="89"/>
      <c r="J497" s="89"/>
      <c r="K497" s="89"/>
      <c r="L497" s="89"/>
    </row>
    <row r="498" ht="14.25" customHeight="1">
      <c r="A498" s="89"/>
      <c r="B498" s="89"/>
      <c r="C498" s="89"/>
      <c r="D498" s="89"/>
      <c r="E498" s="90"/>
      <c r="G498" s="90"/>
      <c r="H498" s="89"/>
      <c r="I498" s="89"/>
      <c r="J498" s="89"/>
      <c r="K498" s="89"/>
      <c r="L498" s="89"/>
    </row>
    <row r="499" ht="14.25" customHeight="1">
      <c r="A499" s="89"/>
      <c r="B499" s="89"/>
      <c r="C499" s="89"/>
      <c r="D499" s="89"/>
      <c r="E499" s="90"/>
      <c r="G499" s="90"/>
      <c r="H499" s="89"/>
      <c r="I499" s="89"/>
      <c r="J499" s="89"/>
      <c r="K499" s="89"/>
      <c r="L499" s="89"/>
    </row>
    <row r="500" ht="14.25" customHeight="1">
      <c r="A500" s="89"/>
      <c r="B500" s="89"/>
      <c r="C500" s="89"/>
      <c r="D500" s="89"/>
      <c r="E500" s="90"/>
      <c r="G500" s="90"/>
      <c r="H500" s="89"/>
      <c r="I500" s="89"/>
      <c r="J500" s="89"/>
      <c r="K500" s="89"/>
      <c r="L500" s="89"/>
    </row>
    <row r="501" ht="14.25" customHeight="1">
      <c r="A501" s="89"/>
      <c r="B501" s="89"/>
      <c r="C501" s="89"/>
      <c r="D501" s="89"/>
      <c r="H501" s="89"/>
      <c r="I501" s="89"/>
      <c r="J501" s="89"/>
      <c r="K501" s="89"/>
      <c r="L501" s="89"/>
    </row>
    <row r="502" ht="14.25" customHeight="1">
      <c r="A502" s="89"/>
      <c r="B502" s="89"/>
      <c r="C502" s="89"/>
      <c r="D502" s="89"/>
      <c r="H502" s="89"/>
      <c r="I502" s="89"/>
      <c r="J502" s="89"/>
      <c r="K502" s="89"/>
      <c r="L502" s="89"/>
    </row>
    <row r="503" ht="14.25" customHeight="1">
      <c r="A503" s="89"/>
      <c r="B503" s="89"/>
      <c r="C503" s="89"/>
      <c r="D503" s="89"/>
      <c r="H503" s="89"/>
      <c r="I503" s="89"/>
      <c r="J503" s="89"/>
      <c r="K503" s="89"/>
      <c r="L503" s="89"/>
    </row>
    <row r="504" ht="14.25" customHeight="1">
      <c r="A504" s="89"/>
      <c r="B504" s="89"/>
      <c r="C504" s="89"/>
      <c r="D504" s="89"/>
      <c r="H504" s="89"/>
      <c r="I504" s="89"/>
      <c r="J504" s="89"/>
      <c r="K504" s="89"/>
      <c r="L504" s="89"/>
    </row>
    <row r="505" ht="14.25" customHeight="1">
      <c r="A505" s="89"/>
      <c r="B505" s="89"/>
      <c r="C505" s="89"/>
      <c r="D505" s="89"/>
      <c r="H505" s="89"/>
      <c r="I505" s="89"/>
      <c r="J505" s="89"/>
      <c r="K505" s="89"/>
      <c r="L505" s="89"/>
    </row>
    <row r="506" ht="14.25" customHeight="1">
      <c r="A506" s="89"/>
      <c r="B506" s="89"/>
      <c r="C506" s="89"/>
      <c r="D506" s="89"/>
      <c r="H506" s="89"/>
      <c r="I506" s="89"/>
      <c r="J506" s="89"/>
      <c r="K506" s="89"/>
      <c r="L506" s="89"/>
    </row>
    <row r="507" ht="14.25" customHeight="1">
      <c r="A507" s="89"/>
      <c r="B507" s="89"/>
      <c r="C507" s="89"/>
      <c r="D507" s="89"/>
      <c r="H507" s="89"/>
      <c r="I507" s="89"/>
      <c r="J507" s="89"/>
      <c r="K507" s="89"/>
      <c r="L507" s="89"/>
    </row>
    <row r="508" ht="14.25" customHeight="1">
      <c r="A508" s="89"/>
      <c r="B508" s="89"/>
      <c r="C508" s="89"/>
      <c r="D508" s="89"/>
      <c r="H508" s="89"/>
      <c r="I508" s="89"/>
      <c r="J508" s="89"/>
      <c r="K508" s="89"/>
      <c r="L508" s="89"/>
    </row>
    <row r="509" ht="14.25" customHeight="1">
      <c r="A509" s="89"/>
      <c r="B509" s="89"/>
      <c r="C509" s="89"/>
      <c r="D509" s="89"/>
      <c r="H509" s="89"/>
      <c r="I509" s="89"/>
      <c r="J509" s="89"/>
      <c r="K509" s="89"/>
      <c r="L509" s="89"/>
    </row>
    <row r="510" ht="14.25" customHeight="1">
      <c r="A510" s="89"/>
      <c r="B510" s="89"/>
      <c r="C510" s="89"/>
      <c r="D510" s="89"/>
      <c r="H510" s="89"/>
      <c r="I510" s="89"/>
      <c r="J510" s="89"/>
      <c r="K510" s="89"/>
      <c r="L510" s="89"/>
    </row>
    <row r="511" ht="14.25" customHeight="1">
      <c r="A511" s="89"/>
      <c r="B511" s="89"/>
      <c r="C511" s="89"/>
      <c r="D511" s="89"/>
      <c r="H511" s="89"/>
      <c r="I511" s="89"/>
      <c r="J511" s="89"/>
      <c r="K511" s="89"/>
      <c r="L511" s="89"/>
    </row>
    <row r="512" ht="14.25" customHeight="1">
      <c r="A512" s="89"/>
      <c r="B512" s="89"/>
      <c r="C512" s="89"/>
      <c r="D512" s="89"/>
      <c r="H512" s="89"/>
      <c r="I512" s="89"/>
      <c r="J512" s="89"/>
      <c r="K512" s="89"/>
      <c r="L512" s="89"/>
    </row>
    <row r="513" ht="14.25" customHeight="1">
      <c r="A513" s="89"/>
      <c r="B513" s="89"/>
      <c r="C513" s="89"/>
      <c r="D513" s="89"/>
      <c r="H513" s="89"/>
      <c r="I513" s="89"/>
      <c r="J513" s="89"/>
      <c r="K513" s="89"/>
      <c r="L513" s="89"/>
    </row>
    <row r="514" ht="14.25" customHeight="1">
      <c r="A514" s="89"/>
      <c r="B514" s="89"/>
      <c r="C514" s="89"/>
      <c r="D514" s="89"/>
      <c r="H514" s="89"/>
      <c r="I514" s="89"/>
      <c r="J514" s="89"/>
      <c r="K514" s="89"/>
      <c r="L514" s="89"/>
    </row>
    <row r="515" ht="14.25" customHeight="1">
      <c r="A515" s="89"/>
      <c r="B515" s="89"/>
      <c r="C515" s="89"/>
      <c r="D515" s="89"/>
      <c r="H515" s="89"/>
      <c r="I515" s="89"/>
      <c r="J515" s="89"/>
      <c r="K515" s="89"/>
      <c r="L515" s="89"/>
    </row>
    <row r="516" ht="14.25" customHeight="1">
      <c r="A516" s="89"/>
      <c r="B516" s="89"/>
      <c r="C516" s="89"/>
      <c r="D516" s="89"/>
      <c r="H516" s="89"/>
      <c r="I516" s="89"/>
      <c r="J516" s="89"/>
      <c r="K516" s="89"/>
      <c r="L516" s="89"/>
    </row>
    <row r="517" ht="14.25" customHeight="1">
      <c r="A517" s="89"/>
      <c r="B517" s="89"/>
      <c r="C517" s="89"/>
      <c r="D517" s="89"/>
      <c r="H517" s="89"/>
      <c r="I517" s="89"/>
      <c r="J517" s="89"/>
      <c r="K517" s="89"/>
      <c r="L517" s="89"/>
    </row>
    <row r="518" ht="14.25" customHeight="1">
      <c r="A518" s="89"/>
      <c r="B518" s="89"/>
      <c r="C518" s="89"/>
      <c r="D518" s="89"/>
      <c r="H518" s="89"/>
      <c r="I518" s="89"/>
      <c r="J518" s="89"/>
      <c r="K518" s="89"/>
      <c r="L518" s="89"/>
    </row>
    <row r="519" ht="14.25" customHeight="1">
      <c r="A519" s="89"/>
      <c r="B519" s="89"/>
      <c r="C519" s="89"/>
      <c r="D519" s="89"/>
      <c r="H519" s="89"/>
      <c r="I519" s="89"/>
      <c r="J519" s="89"/>
      <c r="K519" s="89"/>
      <c r="L519" s="89"/>
    </row>
    <row r="520" ht="14.25" customHeight="1">
      <c r="A520" s="89"/>
      <c r="B520" s="89"/>
      <c r="C520" s="89"/>
      <c r="D520" s="89"/>
      <c r="H520" s="89"/>
      <c r="I520" s="89"/>
      <c r="J520" s="89"/>
      <c r="K520" s="89"/>
      <c r="L520" s="89"/>
    </row>
    <row r="521" ht="14.25" customHeight="1">
      <c r="A521" s="89"/>
      <c r="B521" s="89"/>
      <c r="C521" s="89"/>
      <c r="D521" s="89"/>
      <c r="H521" s="89"/>
      <c r="I521" s="89"/>
      <c r="J521" s="89"/>
      <c r="K521" s="89"/>
      <c r="L521" s="89"/>
    </row>
    <row r="522" ht="14.25" customHeight="1">
      <c r="A522" s="89"/>
      <c r="B522" s="89"/>
      <c r="C522" s="89"/>
      <c r="D522" s="89"/>
      <c r="H522" s="89"/>
      <c r="I522" s="89"/>
      <c r="J522" s="89"/>
      <c r="K522" s="89"/>
      <c r="L522" s="89"/>
    </row>
    <row r="523" ht="14.25" customHeight="1">
      <c r="A523" s="89"/>
      <c r="B523" s="89"/>
      <c r="C523" s="89"/>
      <c r="D523" s="89"/>
      <c r="H523" s="89"/>
      <c r="I523" s="89"/>
      <c r="J523" s="89"/>
      <c r="K523" s="89"/>
      <c r="L523" s="89"/>
    </row>
    <row r="524" ht="14.25" customHeight="1">
      <c r="A524" s="89"/>
      <c r="B524" s="89"/>
      <c r="C524" s="89"/>
      <c r="D524" s="89"/>
      <c r="H524" s="89"/>
      <c r="I524" s="89"/>
      <c r="J524" s="89"/>
      <c r="K524" s="89"/>
      <c r="L524" s="89"/>
    </row>
    <row r="525" ht="14.25" customHeight="1">
      <c r="A525" s="89"/>
      <c r="B525" s="89"/>
      <c r="C525" s="89"/>
      <c r="D525" s="89"/>
      <c r="H525" s="89"/>
      <c r="I525" s="89"/>
      <c r="J525" s="89"/>
      <c r="K525" s="89"/>
      <c r="L525" s="89"/>
    </row>
    <row r="526" ht="14.25" customHeight="1">
      <c r="A526" s="89"/>
      <c r="B526" s="89"/>
      <c r="C526" s="89"/>
      <c r="D526" s="89"/>
      <c r="H526" s="89"/>
      <c r="I526" s="89"/>
      <c r="J526" s="89"/>
      <c r="K526" s="89"/>
      <c r="L526" s="89"/>
    </row>
    <row r="527" ht="14.25" customHeight="1">
      <c r="A527" s="89"/>
      <c r="B527" s="89"/>
      <c r="C527" s="89"/>
      <c r="D527" s="89"/>
      <c r="H527" s="89"/>
      <c r="I527" s="89"/>
      <c r="J527" s="89"/>
      <c r="K527" s="89"/>
      <c r="L527" s="89"/>
    </row>
    <row r="528" ht="14.25" customHeight="1">
      <c r="A528" s="89"/>
      <c r="B528" s="89"/>
      <c r="C528" s="89"/>
      <c r="D528" s="89"/>
      <c r="H528" s="89"/>
      <c r="I528" s="89"/>
      <c r="J528" s="89"/>
      <c r="K528" s="89"/>
      <c r="L528" s="89"/>
    </row>
    <row r="529" ht="14.25" customHeight="1">
      <c r="A529" s="89"/>
      <c r="B529" s="89"/>
      <c r="C529" s="89"/>
      <c r="D529" s="89"/>
      <c r="H529" s="89"/>
      <c r="I529" s="89"/>
      <c r="J529" s="89"/>
      <c r="K529" s="89"/>
      <c r="L529" s="89"/>
    </row>
    <row r="530" ht="14.25" customHeight="1">
      <c r="A530" s="89"/>
      <c r="B530" s="89"/>
      <c r="C530" s="89"/>
      <c r="D530" s="89"/>
      <c r="H530" s="89"/>
      <c r="I530" s="89"/>
      <c r="J530" s="89"/>
      <c r="K530" s="89"/>
      <c r="L530" s="89"/>
    </row>
    <row r="531" ht="14.25" customHeight="1">
      <c r="A531" s="89"/>
      <c r="B531" s="89"/>
      <c r="C531" s="89"/>
      <c r="D531" s="89"/>
      <c r="H531" s="89"/>
      <c r="I531" s="89"/>
      <c r="J531" s="89"/>
      <c r="K531" s="89"/>
      <c r="L531" s="89"/>
    </row>
    <row r="532" ht="14.25" customHeight="1">
      <c r="A532" s="89"/>
      <c r="B532" s="89"/>
      <c r="C532" s="89"/>
      <c r="D532" s="89"/>
      <c r="H532" s="89"/>
      <c r="I532" s="89"/>
      <c r="J532" s="89"/>
      <c r="K532" s="89"/>
      <c r="L532" s="89"/>
    </row>
    <row r="533" ht="14.25" customHeight="1">
      <c r="A533" s="89"/>
      <c r="B533" s="89"/>
      <c r="C533" s="89"/>
      <c r="D533" s="89"/>
      <c r="H533" s="89"/>
      <c r="I533" s="89"/>
      <c r="J533" s="89"/>
      <c r="K533" s="89"/>
      <c r="L533" s="89"/>
    </row>
    <row r="534" ht="14.25" customHeight="1">
      <c r="A534" s="89"/>
      <c r="B534" s="89"/>
      <c r="C534" s="89"/>
      <c r="D534" s="89"/>
      <c r="H534" s="89"/>
      <c r="I534" s="89"/>
      <c r="J534" s="89"/>
      <c r="K534" s="89"/>
      <c r="L534" s="89"/>
    </row>
    <row r="535" ht="14.25" customHeight="1">
      <c r="A535" s="89"/>
      <c r="B535" s="89"/>
      <c r="C535" s="89"/>
      <c r="D535" s="89"/>
      <c r="H535" s="89"/>
      <c r="I535" s="89"/>
      <c r="J535" s="89"/>
      <c r="K535" s="89"/>
      <c r="L535" s="89"/>
    </row>
    <row r="536" ht="14.25" customHeight="1">
      <c r="A536" s="89"/>
      <c r="B536" s="89"/>
      <c r="C536" s="89"/>
      <c r="D536" s="89"/>
      <c r="H536" s="89"/>
      <c r="I536" s="89"/>
      <c r="J536" s="89"/>
      <c r="K536" s="89"/>
      <c r="L536" s="89"/>
    </row>
    <row r="537" ht="14.25" customHeight="1">
      <c r="A537" s="89"/>
      <c r="B537" s="89"/>
      <c r="C537" s="89"/>
      <c r="D537" s="89"/>
      <c r="H537" s="89"/>
      <c r="I537" s="89"/>
      <c r="J537" s="89"/>
      <c r="K537" s="89"/>
      <c r="L537" s="89"/>
    </row>
    <row r="538" ht="14.25" customHeight="1">
      <c r="A538" s="89"/>
      <c r="B538" s="89"/>
      <c r="C538" s="89"/>
      <c r="D538" s="89"/>
      <c r="H538" s="89"/>
      <c r="I538" s="89"/>
      <c r="J538" s="89"/>
      <c r="K538" s="89"/>
      <c r="L538" s="89"/>
    </row>
    <row r="539" ht="14.25" customHeight="1">
      <c r="A539" s="89"/>
      <c r="B539" s="89"/>
      <c r="C539" s="89"/>
      <c r="D539" s="89"/>
      <c r="H539" s="89"/>
      <c r="I539" s="89"/>
      <c r="J539" s="89"/>
      <c r="K539" s="89"/>
      <c r="L539" s="89"/>
    </row>
    <row r="540" ht="14.25" customHeight="1">
      <c r="A540" s="89"/>
      <c r="B540" s="89"/>
      <c r="C540" s="89"/>
      <c r="D540" s="89"/>
      <c r="H540" s="89"/>
      <c r="I540" s="89"/>
      <c r="J540" s="89"/>
      <c r="K540" s="89"/>
      <c r="L540" s="89"/>
    </row>
    <row r="541" ht="14.25" customHeight="1">
      <c r="A541" s="89"/>
      <c r="B541" s="89"/>
      <c r="C541" s="89"/>
      <c r="D541" s="89"/>
      <c r="H541" s="89"/>
      <c r="I541" s="89"/>
      <c r="J541" s="89"/>
      <c r="K541" s="89"/>
      <c r="L541" s="89"/>
    </row>
    <row r="542" ht="14.25" customHeight="1">
      <c r="A542" s="89"/>
      <c r="B542" s="89"/>
      <c r="C542" s="89"/>
      <c r="D542" s="89"/>
      <c r="H542" s="89"/>
      <c r="I542" s="89"/>
      <c r="J542" s="89"/>
      <c r="K542" s="89"/>
      <c r="L542" s="89"/>
    </row>
    <row r="543" ht="14.25" customHeight="1">
      <c r="A543" s="89"/>
      <c r="B543" s="89"/>
      <c r="C543" s="89"/>
      <c r="D543" s="89"/>
      <c r="H543" s="89"/>
      <c r="I543" s="89"/>
      <c r="J543" s="89"/>
      <c r="K543" s="89"/>
      <c r="L543" s="89"/>
    </row>
    <row r="544" ht="14.25" customHeight="1">
      <c r="A544" s="89"/>
      <c r="B544" s="89"/>
      <c r="C544" s="89"/>
      <c r="D544" s="89"/>
      <c r="H544" s="89"/>
      <c r="I544" s="89"/>
      <c r="J544" s="89"/>
      <c r="K544" s="89"/>
      <c r="L544" s="89"/>
    </row>
    <row r="545" ht="14.25" customHeight="1">
      <c r="A545" s="89"/>
      <c r="B545" s="89"/>
      <c r="C545" s="89"/>
      <c r="D545" s="89"/>
      <c r="H545" s="89"/>
      <c r="I545" s="89"/>
      <c r="J545" s="89"/>
      <c r="K545" s="89"/>
      <c r="L545" s="89"/>
    </row>
    <row r="546" ht="14.25" customHeight="1">
      <c r="A546" s="89"/>
      <c r="B546" s="89"/>
      <c r="C546" s="89"/>
      <c r="D546" s="89"/>
      <c r="H546" s="89"/>
      <c r="I546" s="89"/>
      <c r="J546" s="89"/>
      <c r="K546" s="89"/>
      <c r="L546" s="89"/>
    </row>
    <row r="547" ht="14.25" customHeight="1">
      <c r="A547" s="89"/>
      <c r="B547" s="89"/>
      <c r="C547" s="89"/>
      <c r="D547" s="89"/>
      <c r="H547" s="89"/>
      <c r="I547" s="89"/>
      <c r="J547" s="89"/>
      <c r="K547" s="89"/>
      <c r="L547" s="89"/>
    </row>
    <row r="548" ht="14.25" customHeight="1">
      <c r="A548" s="89"/>
      <c r="B548" s="89"/>
      <c r="C548" s="89"/>
      <c r="D548" s="89"/>
      <c r="H548" s="89"/>
      <c r="I548" s="89"/>
      <c r="J548" s="89"/>
      <c r="K548" s="89"/>
      <c r="L548" s="89"/>
    </row>
    <row r="549" ht="14.25" customHeight="1">
      <c r="A549" s="89"/>
      <c r="B549" s="89"/>
      <c r="C549" s="89"/>
      <c r="D549" s="89"/>
      <c r="H549" s="89"/>
      <c r="I549" s="89"/>
      <c r="J549" s="89"/>
      <c r="K549" s="89"/>
      <c r="L549" s="89"/>
    </row>
    <row r="550" ht="14.25" customHeight="1">
      <c r="A550" s="89"/>
      <c r="B550" s="89"/>
      <c r="C550" s="89"/>
      <c r="D550" s="89"/>
      <c r="H550" s="89"/>
      <c r="I550" s="89"/>
      <c r="J550" s="89"/>
      <c r="K550" s="89"/>
      <c r="L550" s="89"/>
    </row>
    <row r="551" ht="14.25" customHeight="1">
      <c r="A551" s="89"/>
      <c r="B551" s="89"/>
      <c r="C551" s="89"/>
      <c r="D551" s="89"/>
      <c r="H551" s="89"/>
      <c r="I551" s="89"/>
      <c r="J551" s="89"/>
      <c r="K551" s="89"/>
      <c r="L551" s="89"/>
    </row>
    <row r="552" ht="14.25" customHeight="1">
      <c r="A552" s="89"/>
      <c r="B552" s="89"/>
      <c r="C552" s="89"/>
      <c r="D552" s="89"/>
      <c r="H552" s="89"/>
      <c r="I552" s="89"/>
      <c r="J552" s="89"/>
      <c r="K552" s="89"/>
      <c r="L552" s="89"/>
    </row>
    <row r="553" ht="14.25" customHeight="1">
      <c r="A553" s="89"/>
      <c r="B553" s="89"/>
      <c r="C553" s="89"/>
      <c r="D553" s="89"/>
      <c r="H553" s="89"/>
      <c r="I553" s="89"/>
      <c r="J553" s="89"/>
      <c r="K553" s="89"/>
      <c r="L553" s="89"/>
    </row>
    <row r="554" ht="14.25" customHeight="1">
      <c r="A554" s="89"/>
      <c r="B554" s="89"/>
      <c r="C554" s="89"/>
      <c r="D554" s="89"/>
      <c r="H554" s="89"/>
      <c r="I554" s="89"/>
      <c r="J554" s="89"/>
      <c r="K554" s="89"/>
      <c r="L554" s="89"/>
    </row>
    <row r="555" ht="14.25" customHeight="1">
      <c r="A555" s="89"/>
      <c r="B555" s="89"/>
      <c r="C555" s="89"/>
      <c r="D555" s="89"/>
      <c r="H555" s="89"/>
      <c r="I555" s="89"/>
      <c r="J555" s="89"/>
      <c r="K555" s="89"/>
      <c r="L555" s="89"/>
    </row>
    <row r="556" ht="14.25" customHeight="1">
      <c r="A556" s="89"/>
      <c r="B556" s="89"/>
      <c r="C556" s="89"/>
      <c r="D556" s="89"/>
      <c r="H556" s="89"/>
      <c r="I556" s="89"/>
      <c r="J556" s="89"/>
      <c r="K556" s="89"/>
      <c r="L556" s="89"/>
    </row>
    <row r="557" ht="14.25" customHeight="1">
      <c r="A557" s="89"/>
      <c r="B557" s="89"/>
      <c r="C557" s="89"/>
      <c r="D557" s="89"/>
      <c r="H557" s="89"/>
      <c r="I557" s="89"/>
      <c r="J557" s="89"/>
      <c r="K557" s="89"/>
      <c r="L557" s="89"/>
    </row>
    <row r="558" ht="14.25" customHeight="1">
      <c r="A558" s="89"/>
      <c r="B558" s="89"/>
      <c r="C558" s="89"/>
      <c r="D558" s="89"/>
      <c r="H558" s="89"/>
      <c r="I558" s="89"/>
      <c r="J558" s="89"/>
      <c r="K558" s="89"/>
      <c r="L558" s="89"/>
    </row>
    <row r="559" ht="14.25" customHeight="1">
      <c r="A559" s="89"/>
      <c r="B559" s="89"/>
      <c r="C559" s="89"/>
      <c r="D559" s="89"/>
      <c r="H559" s="89"/>
      <c r="I559" s="89"/>
      <c r="J559" s="89"/>
      <c r="K559" s="89"/>
      <c r="L559" s="89"/>
    </row>
    <row r="560" ht="14.25" customHeight="1">
      <c r="A560" s="89"/>
      <c r="B560" s="89"/>
      <c r="C560" s="89"/>
      <c r="D560" s="89"/>
      <c r="H560" s="89"/>
      <c r="I560" s="89"/>
      <c r="J560" s="89"/>
      <c r="K560" s="89"/>
      <c r="L560" s="89"/>
    </row>
    <row r="561" ht="14.25" customHeight="1">
      <c r="A561" s="89"/>
      <c r="B561" s="89"/>
      <c r="C561" s="89"/>
      <c r="D561" s="89"/>
      <c r="H561" s="89"/>
      <c r="I561" s="89"/>
      <c r="J561" s="89"/>
      <c r="K561" s="89"/>
      <c r="L561" s="89"/>
    </row>
    <row r="562" ht="14.25" customHeight="1">
      <c r="A562" s="89"/>
      <c r="B562" s="89"/>
      <c r="C562" s="89"/>
      <c r="D562" s="89"/>
      <c r="H562" s="89"/>
      <c r="I562" s="89"/>
      <c r="J562" s="89"/>
      <c r="K562" s="89"/>
      <c r="L562" s="89"/>
    </row>
    <row r="563" ht="14.25" customHeight="1">
      <c r="A563" s="89"/>
      <c r="B563" s="89"/>
      <c r="C563" s="89"/>
      <c r="D563" s="89"/>
      <c r="H563" s="89"/>
      <c r="I563" s="89"/>
      <c r="J563" s="89"/>
      <c r="K563" s="89"/>
      <c r="L563" s="89"/>
    </row>
    <row r="564" ht="14.25" customHeight="1">
      <c r="A564" s="89"/>
      <c r="B564" s="89"/>
      <c r="C564" s="89"/>
      <c r="D564" s="89"/>
      <c r="H564" s="89"/>
      <c r="I564" s="89"/>
      <c r="J564" s="89"/>
      <c r="K564" s="89"/>
      <c r="L564" s="89"/>
    </row>
    <row r="565" ht="14.25" customHeight="1">
      <c r="A565" s="89"/>
      <c r="B565" s="89"/>
      <c r="C565" s="89"/>
      <c r="D565" s="89"/>
      <c r="H565" s="89"/>
      <c r="I565" s="89"/>
      <c r="J565" s="89"/>
      <c r="K565" s="89"/>
      <c r="L565" s="89"/>
    </row>
    <row r="566" ht="14.25" customHeight="1">
      <c r="A566" s="89"/>
      <c r="B566" s="89"/>
      <c r="C566" s="89"/>
      <c r="D566" s="89"/>
      <c r="H566" s="89"/>
      <c r="I566" s="89"/>
      <c r="J566" s="89"/>
      <c r="K566" s="89"/>
      <c r="L566" s="89"/>
    </row>
    <row r="567" ht="14.25" customHeight="1">
      <c r="A567" s="89"/>
      <c r="B567" s="89"/>
      <c r="C567" s="89"/>
      <c r="D567" s="89"/>
      <c r="H567" s="89"/>
      <c r="I567" s="89"/>
      <c r="J567" s="89"/>
      <c r="K567" s="89"/>
      <c r="L567" s="89"/>
    </row>
    <row r="568" ht="14.25" customHeight="1">
      <c r="A568" s="89"/>
      <c r="B568" s="89"/>
      <c r="C568" s="89"/>
      <c r="D568" s="89"/>
      <c r="H568" s="89"/>
      <c r="I568" s="89"/>
      <c r="J568" s="89"/>
      <c r="K568" s="89"/>
      <c r="L568" s="89"/>
    </row>
    <row r="569" ht="14.25" customHeight="1">
      <c r="A569" s="89"/>
      <c r="B569" s="89"/>
      <c r="C569" s="89"/>
      <c r="D569" s="89"/>
      <c r="H569" s="89"/>
      <c r="I569" s="89"/>
      <c r="J569" s="89"/>
      <c r="K569" s="89"/>
      <c r="L569" s="89"/>
    </row>
    <row r="570" ht="14.25" customHeight="1">
      <c r="A570" s="89"/>
      <c r="B570" s="89"/>
      <c r="C570" s="89"/>
      <c r="D570" s="89"/>
      <c r="H570" s="89"/>
      <c r="I570" s="89"/>
      <c r="J570" s="89"/>
      <c r="K570" s="89"/>
      <c r="L570" s="89"/>
    </row>
    <row r="571" ht="14.25" customHeight="1">
      <c r="A571" s="89"/>
      <c r="B571" s="89"/>
      <c r="C571" s="89"/>
      <c r="D571" s="89"/>
      <c r="H571" s="89"/>
      <c r="I571" s="89"/>
      <c r="J571" s="89"/>
      <c r="K571" s="89"/>
      <c r="L571" s="89"/>
    </row>
    <row r="572" ht="14.25" customHeight="1">
      <c r="A572" s="89"/>
      <c r="B572" s="89"/>
      <c r="C572" s="89"/>
      <c r="D572" s="89"/>
      <c r="H572" s="89"/>
      <c r="I572" s="89"/>
      <c r="J572" s="89"/>
      <c r="K572" s="89"/>
      <c r="L572" s="89"/>
    </row>
    <row r="573" ht="14.25" customHeight="1">
      <c r="A573" s="89"/>
      <c r="B573" s="89"/>
      <c r="C573" s="89"/>
      <c r="D573" s="89"/>
      <c r="H573" s="89"/>
      <c r="I573" s="89"/>
      <c r="J573" s="89"/>
      <c r="K573" s="89"/>
      <c r="L573" s="89"/>
    </row>
    <row r="574" ht="14.25" customHeight="1">
      <c r="A574" s="89"/>
      <c r="B574" s="89"/>
      <c r="C574" s="89"/>
      <c r="D574" s="89"/>
      <c r="H574" s="89"/>
      <c r="I574" s="89"/>
      <c r="J574" s="89"/>
      <c r="K574" s="89"/>
      <c r="L574" s="89"/>
    </row>
    <row r="575" ht="14.25" customHeight="1">
      <c r="A575" s="89"/>
      <c r="B575" s="89"/>
      <c r="C575" s="89"/>
      <c r="D575" s="89"/>
      <c r="H575" s="89"/>
      <c r="I575" s="89"/>
      <c r="J575" s="89"/>
      <c r="K575" s="89"/>
      <c r="L575" s="89"/>
    </row>
    <row r="576" ht="14.25" customHeight="1">
      <c r="A576" s="89"/>
      <c r="B576" s="89"/>
      <c r="C576" s="89"/>
      <c r="D576" s="89"/>
      <c r="H576" s="89"/>
      <c r="I576" s="89"/>
      <c r="J576" s="89"/>
      <c r="K576" s="89"/>
      <c r="L576" s="89"/>
    </row>
    <row r="577" ht="14.25" customHeight="1">
      <c r="A577" s="89"/>
      <c r="B577" s="89"/>
      <c r="C577" s="89"/>
      <c r="D577" s="89"/>
      <c r="H577" s="89"/>
      <c r="I577" s="89"/>
      <c r="J577" s="89"/>
      <c r="K577" s="89"/>
      <c r="L577" s="89"/>
    </row>
    <row r="578" ht="14.25" customHeight="1">
      <c r="A578" s="89"/>
      <c r="B578" s="89"/>
      <c r="C578" s="89"/>
      <c r="D578" s="89"/>
      <c r="H578" s="89"/>
      <c r="I578" s="89"/>
      <c r="J578" s="89"/>
      <c r="K578" s="89"/>
      <c r="L578" s="89"/>
    </row>
    <row r="579" ht="14.25" customHeight="1">
      <c r="A579" s="89"/>
      <c r="B579" s="89"/>
      <c r="C579" s="89"/>
      <c r="D579" s="89"/>
      <c r="H579" s="89"/>
      <c r="I579" s="89"/>
      <c r="J579" s="89"/>
      <c r="K579" s="89"/>
      <c r="L579" s="89"/>
    </row>
    <row r="580" ht="14.25" customHeight="1">
      <c r="A580" s="89"/>
      <c r="B580" s="89"/>
      <c r="C580" s="89"/>
      <c r="D580" s="89"/>
      <c r="H580" s="89"/>
      <c r="I580" s="89"/>
      <c r="J580" s="89"/>
      <c r="K580" s="89"/>
      <c r="L580" s="89"/>
    </row>
    <row r="581" ht="14.25" customHeight="1">
      <c r="A581" s="89"/>
      <c r="B581" s="89"/>
      <c r="C581" s="89"/>
      <c r="D581" s="89"/>
      <c r="H581" s="89"/>
      <c r="I581" s="89"/>
      <c r="J581" s="89"/>
      <c r="K581" s="89"/>
      <c r="L581" s="89"/>
    </row>
    <row r="582" ht="14.25" customHeight="1">
      <c r="A582" s="89"/>
      <c r="B582" s="89"/>
      <c r="C582" s="89"/>
      <c r="D582" s="89"/>
      <c r="H582" s="89"/>
      <c r="I582" s="89"/>
      <c r="J582" s="89"/>
      <c r="K582" s="89"/>
      <c r="L582" s="89"/>
    </row>
    <row r="583" ht="14.25" customHeight="1">
      <c r="A583" s="89"/>
      <c r="B583" s="89"/>
      <c r="C583" s="89"/>
      <c r="D583" s="89"/>
      <c r="H583" s="89"/>
      <c r="I583" s="89"/>
      <c r="J583" s="89"/>
      <c r="K583" s="89"/>
      <c r="L583" s="89"/>
    </row>
    <row r="584" ht="14.25" customHeight="1">
      <c r="A584" s="89"/>
      <c r="B584" s="89"/>
      <c r="C584" s="89"/>
      <c r="D584" s="89"/>
      <c r="H584" s="89"/>
      <c r="I584" s="89"/>
      <c r="J584" s="89"/>
      <c r="K584" s="89"/>
      <c r="L584" s="89"/>
    </row>
    <row r="585" ht="14.25" customHeight="1">
      <c r="A585" s="89"/>
      <c r="B585" s="89"/>
      <c r="C585" s="89"/>
      <c r="D585" s="89"/>
      <c r="H585" s="89"/>
      <c r="I585" s="89"/>
      <c r="J585" s="89"/>
      <c r="K585" s="89"/>
      <c r="L585" s="89"/>
    </row>
    <row r="586" ht="14.25" customHeight="1">
      <c r="A586" s="89"/>
      <c r="B586" s="89"/>
      <c r="C586" s="89"/>
      <c r="D586" s="89"/>
      <c r="H586" s="89"/>
      <c r="I586" s="89"/>
      <c r="J586" s="89"/>
      <c r="K586" s="89"/>
      <c r="L586" s="89"/>
    </row>
    <row r="587" ht="14.25" customHeight="1">
      <c r="A587" s="89"/>
      <c r="B587" s="89"/>
      <c r="C587" s="89"/>
      <c r="D587" s="89"/>
      <c r="H587" s="89"/>
      <c r="I587" s="89"/>
      <c r="J587" s="89"/>
      <c r="K587" s="89"/>
      <c r="L587" s="89"/>
    </row>
    <row r="588" ht="14.25" customHeight="1">
      <c r="A588" s="89"/>
      <c r="B588" s="89"/>
      <c r="C588" s="89"/>
      <c r="D588" s="89"/>
      <c r="H588" s="89"/>
      <c r="I588" s="89"/>
      <c r="J588" s="89"/>
      <c r="K588" s="89"/>
      <c r="L588" s="89"/>
    </row>
    <row r="589" ht="14.25" customHeight="1">
      <c r="A589" s="89"/>
      <c r="B589" s="89"/>
      <c r="C589" s="89"/>
      <c r="D589" s="89"/>
      <c r="H589" s="89"/>
      <c r="I589" s="89"/>
      <c r="J589" s="89"/>
      <c r="K589" s="89"/>
      <c r="L589" s="89"/>
    </row>
    <row r="590" ht="14.25" customHeight="1">
      <c r="A590" s="89"/>
      <c r="B590" s="89"/>
      <c r="C590" s="89"/>
      <c r="D590" s="89"/>
      <c r="H590" s="89"/>
      <c r="I590" s="89"/>
      <c r="J590" s="89"/>
      <c r="K590" s="89"/>
      <c r="L590" s="89"/>
    </row>
    <row r="591" ht="14.25" customHeight="1">
      <c r="A591" s="89"/>
      <c r="B591" s="89"/>
      <c r="C591" s="89"/>
      <c r="D591" s="89"/>
      <c r="H591" s="89"/>
      <c r="I591" s="89"/>
      <c r="J591" s="89"/>
      <c r="K591" s="89"/>
      <c r="L591" s="89"/>
    </row>
    <row r="592" ht="14.25" customHeight="1">
      <c r="A592" s="89"/>
      <c r="B592" s="89"/>
      <c r="C592" s="89"/>
      <c r="D592" s="89"/>
      <c r="H592" s="89"/>
      <c r="I592" s="89"/>
      <c r="J592" s="89"/>
      <c r="K592" s="89"/>
      <c r="L592" s="89"/>
    </row>
    <row r="593" ht="14.25" customHeight="1">
      <c r="A593" s="89"/>
      <c r="B593" s="89"/>
      <c r="C593" s="89"/>
      <c r="D593" s="89"/>
      <c r="H593" s="89"/>
      <c r="I593" s="89"/>
      <c r="J593" s="89"/>
      <c r="K593" s="89"/>
      <c r="L593" s="89"/>
    </row>
    <row r="594" ht="14.25" customHeight="1">
      <c r="A594" s="89"/>
      <c r="B594" s="89"/>
      <c r="C594" s="89"/>
      <c r="D594" s="89"/>
      <c r="H594" s="89"/>
      <c r="I594" s="89"/>
      <c r="J594" s="89"/>
      <c r="K594" s="89"/>
      <c r="L594" s="89"/>
    </row>
    <row r="595" ht="14.25" customHeight="1">
      <c r="A595" s="89"/>
      <c r="B595" s="89"/>
      <c r="C595" s="89"/>
      <c r="D595" s="89"/>
      <c r="H595" s="89"/>
      <c r="I595" s="89"/>
      <c r="J595" s="89"/>
      <c r="K595" s="89"/>
      <c r="L595" s="89"/>
    </row>
    <row r="596" ht="14.25" customHeight="1">
      <c r="A596" s="89"/>
      <c r="B596" s="89"/>
      <c r="C596" s="89"/>
      <c r="D596" s="89"/>
      <c r="H596" s="89"/>
      <c r="I596" s="89"/>
      <c r="J596" s="89"/>
      <c r="K596" s="89"/>
      <c r="L596" s="89"/>
    </row>
    <row r="597" ht="14.25" customHeight="1">
      <c r="A597" s="89"/>
      <c r="B597" s="89"/>
      <c r="C597" s="89"/>
      <c r="D597" s="89"/>
      <c r="H597" s="89"/>
      <c r="I597" s="89"/>
      <c r="J597" s="89"/>
      <c r="K597" s="89"/>
      <c r="L597" s="89"/>
    </row>
    <row r="598" ht="14.25" customHeight="1">
      <c r="A598" s="89"/>
      <c r="B598" s="89"/>
      <c r="C598" s="89"/>
      <c r="D598" s="89"/>
      <c r="H598" s="89"/>
      <c r="I598" s="89"/>
      <c r="J598" s="89"/>
      <c r="K598" s="89"/>
      <c r="L598" s="89"/>
    </row>
    <row r="599" ht="14.25" customHeight="1">
      <c r="A599" s="89"/>
      <c r="B599" s="89"/>
      <c r="C599" s="89"/>
      <c r="D599" s="89"/>
      <c r="H599" s="89"/>
      <c r="I599" s="89"/>
      <c r="J599" s="89"/>
      <c r="K599" s="89"/>
      <c r="L599" s="89"/>
    </row>
    <row r="600" ht="14.25" customHeight="1">
      <c r="A600" s="89"/>
      <c r="B600" s="89"/>
      <c r="C600" s="89"/>
      <c r="D600" s="89"/>
      <c r="H600" s="89"/>
      <c r="I600" s="89"/>
      <c r="J600" s="89"/>
      <c r="K600" s="89"/>
      <c r="L600" s="89"/>
    </row>
    <row r="601" ht="14.25" customHeight="1">
      <c r="A601" s="89"/>
      <c r="B601" s="89"/>
      <c r="C601" s="89"/>
      <c r="D601" s="89"/>
      <c r="H601" s="89"/>
      <c r="I601" s="89"/>
      <c r="J601" s="89"/>
      <c r="K601" s="89"/>
      <c r="L601" s="89"/>
    </row>
    <row r="602" ht="14.25" customHeight="1">
      <c r="A602" s="89"/>
      <c r="B602" s="89"/>
      <c r="C602" s="89"/>
      <c r="D602" s="89"/>
      <c r="H602" s="89"/>
      <c r="I602" s="89"/>
      <c r="J602" s="89"/>
      <c r="K602" s="89"/>
      <c r="L602" s="89"/>
    </row>
    <row r="603" ht="14.25" customHeight="1">
      <c r="A603" s="89"/>
      <c r="B603" s="89"/>
      <c r="C603" s="89"/>
      <c r="D603" s="89"/>
      <c r="H603" s="89"/>
      <c r="I603" s="89"/>
      <c r="J603" s="89"/>
      <c r="K603" s="89"/>
      <c r="L603" s="89"/>
    </row>
    <row r="604" ht="14.25" customHeight="1">
      <c r="A604" s="89"/>
      <c r="B604" s="89"/>
      <c r="C604" s="89"/>
      <c r="D604" s="89"/>
      <c r="H604" s="89"/>
      <c r="I604" s="89"/>
      <c r="J604" s="89"/>
      <c r="K604" s="89"/>
      <c r="L604" s="89"/>
    </row>
    <row r="605" ht="14.25" customHeight="1">
      <c r="A605" s="89"/>
      <c r="B605" s="89"/>
      <c r="C605" s="89"/>
      <c r="D605" s="89"/>
      <c r="H605" s="89"/>
      <c r="I605" s="89"/>
      <c r="J605" s="89"/>
      <c r="K605" s="89"/>
      <c r="L605" s="89"/>
    </row>
    <row r="606" ht="14.25" customHeight="1">
      <c r="A606" s="89"/>
      <c r="B606" s="89"/>
      <c r="C606" s="89"/>
      <c r="D606" s="89"/>
      <c r="H606" s="89"/>
      <c r="I606" s="89"/>
      <c r="J606" s="89"/>
      <c r="K606" s="89"/>
      <c r="L606" s="89"/>
    </row>
    <row r="607" ht="14.25" customHeight="1">
      <c r="A607" s="89"/>
      <c r="B607" s="89"/>
      <c r="C607" s="89"/>
      <c r="D607" s="89"/>
      <c r="H607" s="89"/>
      <c r="I607" s="89"/>
      <c r="J607" s="89"/>
      <c r="K607" s="89"/>
      <c r="L607" s="89"/>
    </row>
    <row r="608" ht="14.25" customHeight="1">
      <c r="A608" s="89"/>
      <c r="B608" s="89"/>
      <c r="C608" s="89"/>
      <c r="D608" s="89"/>
      <c r="H608" s="89"/>
      <c r="I608" s="89"/>
      <c r="J608" s="89"/>
      <c r="K608" s="89"/>
      <c r="L608" s="89"/>
    </row>
    <row r="609" ht="14.25" customHeight="1">
      <c r="A609" s="89"/>
      <c r="B609" s="89"/>
      <c r="C609" s="89"/>
      <c r="D609" s="89"/>
      <c r="H609" s="89"/>
      <c r="I609" s="89"/>
      <c r="J609" s="89"/>
      <c r="K609" s="89"/>
      <c r="L609" s="89"/>
    </row>
    <row r="610" ht="14.25" customHeight="1">
      <c r="A610" s="89"/>
      <c r="B610" s="89"/>
      <c r="C610" s="89"/>
      <c r="D610" s="89"/>
      <c r="H610" s="89"/>
      <c r="I610" s="89"/>
      <c r="J610" s="89"/>
      <c r="K610" s="89"/>
      <c r="L610" s="89"/>
    </row>
    <row r="611" ht="14.25" customHeight="1">
      <c r="A611" s="89"/>
      <c r="B611" s="89"/>
      <c r="C611" s="89"/>
      <c r="D611" s="89"/>
      <c r="H611" s="89"/>
      <c r="I611" s="89"/>
      <c r="J611" s="89"/>
      <c r="K611" s="89"/>
      <c r="L611" s="89"/>
    </row>
    <row r="612" ht="14.25" customHeight="1">
      <c r="A612" s="89"/>
      <c r="B612" s="89"/>
      <c r="C612" s="89"/>
      <c r="D612" s="89"/>
      <c r="H612" s="89"/>
      <c r="I612" s="89"/>
      <c r="J612" s="89"/>
      <c r="K612" s="89"/>
      <c r="L612" s="89"/>
    </row>
    <row r="613" ht="14.25" customHeight="1">
      <c r="A613" s="89"/>
      <c r="B613" s="89"/>
      <c r="C613" s="89"/>
      <c r="D613" s="89"/>
      <c r="H613" s="89"/>
      <c r="I613" s="89"/>
      <c r="J613" s="89"/>
      <c r="K613" s="89"/>
      <c r="L613" s="89"/>
    </row>
    <row r="614" ht="14.25" customHeight="1">
      <c r="A614" s="89"/>
      <c r="B614" s="89"/>
      <c r="C614" s="89"/>
      <c r="D614" s="89"/>
      <c r="H614" s="89"/>
      <c r="I614" s="89"/>
      <c r="J614" s="89"/>
      <c r="K614" s="89"/>
      <c r="L614" s="89"/>
    </row>
    <row r="615" ht="14.25" customHeight="1">
      <c r="A615" s="89"/>
      <c r="B615" s="89"/>
      <c r="C615" s="89"/>
      <c r="D615" s="89"/>
      <c r="H615" s="89"/>
      <c r="I615" s="89"/>
      <c r="J615" s="89"/>
      <c r="K615" s="89"/>
      <c r="L615" s="89"/>
    </row>
    <row r="616" ht="14.25" customHeight="1">
      <c r="A616" s="89"/>
      <c r="B616" s="89"/>
      <c r="C616" s="89"/>
      <c r="D616" s="89"/>
      <c r="H616" s="89"/>
      <c r="I616" s="89"/>
      <c r="J616" s="89"/>
      <c r="K616" s="89"/>
      <c r="L616" s="89"/>
    </row>
    <row r="617" ht="14.25" customHeight="1">
      <c r="A617" s="89"/>
      <c r="B617" s="89"/>
      <c r="C617" s="89"/>
      <c r="D617" s="89"/>
      <c r="H617" s="89"/>
      <c r="I617" s="89"/>
      <c r="J617" s="89"/>
      <c r="K617" s="89"/>
      <c r="L617" s="89"/>
    </row>
    <row r="618" ht="14.25" customHeight="1">
      <c r="A618" s="89"/>
      <c r="B618" s="89"/>
      <c r="C618" s="89"/>
      <c r="D618" s="89"/>
      <c r="H618" s="89"/>
      <c r="I618" s="89"/>
      <c r="J618" s="89"/>
      <c r="K618" s="89"/>
      <c r="L618" s="89"/>
    </row>
    <row r="619" ht="14.25" customHeight="1">
      <c r="A619" s="89"/>
      <c r="B619" s="89"/>
      <c r="C619" s="89"/>
      <c r="D619" s="89"/>
      <c r="H619" s="89"/>
      <c r="I619" s="89"/>
      <c r="J619" s="89"/>
      <c r="K619" s="89"/>
      <c r="L619" s="89"/>
    </row>
    <row r="620" ht="14.25" customHeight="1">
      <c r="A620" s="89"/>
      <c r="B620" s="89"/>
      <c r="C620" s="89"/>
      <c r="D620" s="89"/>
      <c r="H620" s="89"/>
      <c r="I620" s="89"/>
      <c r="J620" s="89"/>
      <c r="K620" s="89"/>
      <c r="L620" s="89"/>
    </row>
    <row r="621" ht="14.25" customHeight="1">
      <c r="A621" s="89"/>
      <c r="B621" s="89"/>
      <c r="C621" s="89"/>
      <c r="D621" s="89"/>
      <c r="H621" s="89"/>
      <c r="I621" s="89"/>
      <c r="J621" s="89"/>
      <c r="K621" s="89"/>
      <c r="L621" s="89"/>
    </row>
    <row r="622" ht="14.25" customHeight="1">
      <c r="A622" s="89"/>
      <c r="B622" s="89"/>
      <c r="C622" s="89"/>
      <c r="D622" s="89"/>
      <c r="H622" s="89"/>
      <c r="I622" s="89"/>
      <c r="J622" s="89"/>
      <c r="K622" s="89"/>
      <c r="L622" s="89"/>
    </row>
    <row r="623" ht="14.25" customHeight="1">
      <c r="A623" s="89"/>
      <c r="B623" s="89"/>
      <c r="C623" s="89"/>
      <c r="D623" s="89"/>
      <c r="H623" s="89"/>
      <c r="I623" s="89"/>
      <c r="J623" s="89"/>
      <c r="K623" s="89"/>
      <c r="L623" s="89"/>
    </row>
    <row r="624" ht="14.25" customHeight="1">
      <c r="A624" s="89"/>
      <c r="B624" s="89"/>
      <c r="C624" s="89"/>
      <c r="D624" s="89"/>
      <c r="H624" s="89"/>
      <c r="I624" s="89"/>
      <c r="J624" s="89"/>
      <c r="K624" s="89"/>
      <c r="L624" s="89"/>
    </row>
    <row r="625" ht="14.25" customHeight="1">
      <c r="A625" s="89"/>
      <c r="B625" s="89"/>
      <c r="C625" s="89"/>
      <c r="D625" s="89"/>
      <c r="H625" s="89"/>
      <c r="I625" s="89"/>
      <c r="J625" s="89"/>
      <c r="K625" s="89"/>
      <c r="L625" s="89"/>
    </row>
    <row r="626" ht="14.25" customHeight="1">
      <c r="A626" s="89"/>
      <c r="B626" s="89"/>
      <c r="C626" s="89"/>
      <c r="D626" s="89"/>
      <c r="H626" s="89"/>
      <c r="I626" s="89"/>
      <c r="J626" s="89"/>
      <c r="K626" s="89"/>
      <c r="L626" s="89"/>
    </row>
    <row r="627" ht="14.25" customHeight="1">
      <c r="A627" s="89"/>
      <c r="B627" s="89"/>
      <c r="C627" s="89"/>
      <c r="D627" s="89"/>
      <c r="H627" s="89"/>
      <c r="I627" s="89"/>
      <c r="J627" s="89"/>
      <c r="K627" s="89"/>
      <c r="L627" s="89"/>
    </row>
    <row r="628" ht="14.25" customHeight="1">
      <c r="A628" s="89"/>
      <c r="B628" s="89"/>
      <c r="C628" s="89"/>
      <c r="D628" s="89"/>
      <c r="H628" s="89"/>
      <c r="I628" s="89"/>
      <c r="J628" s="89"/>
      <c r="K628" s="89"/>
      <c r="L628" s="89"/>
    </row>
    <row r="629" ht="14.25" customHeight="1">
      <c r="A629" s="89"/>
      <c r="B629" s="89"/>
      <c r="C629" s="89"/>
      <c r="D629" s="89"/>
      <c r="H629" s="89"/>
      <c r="I629" s="89"/>
      <c r="J629" s="89"/>
      <c r="K629" s="89"/>
      <c r="L629" s="89"/>
    </row>
    <row r="630" ht="14.25" customHeight="1">
      <c r="A630" s="89"/>
      <c r="B630" s="89"/>
      <c r="C630" s="89"/>
      <c r="D630" s="89"/>
      <c r="H630" s="89"/>
      <c r="I630" s="89"/>
      <c r="J630" s="89"/>
      <c r="K630" s="89"/>
      <c r="L630" s="89"/>
    </row>
    <row r="631" ht="14.25" customHeight="1">
      <c r="A631" s="89"/>
      <c r="B631" s="89"/>
      <c r="C631" s="89"/>
      <c r="D631" s="89"/>
      <c r="H631" s="89"/>
      <c r="I631" s="89"/>
      <c r="J631" s="89"/>
      <c r="K631" s="89"/>
      <c r="L631" s="89"/>
    </row>
    <row r="632" ht="14.25" customHeight="1">
      <c r="A632" s="89"/>
      <c r="B632" s="89"/>
      <c r="C632" s="89"/>
      <c r="D632" s="89"/>
      <c r="H632" s="89"/>
      <c r="I632" s="89"/>
      <c r="J632" s="89"/>
      <c r="K632" s="89"/>
      <c r="L632" s="89"/>
    </row>
    <row r="633" ht="14.25" customHeight="1">
      <c r="A633" s="89"/>
      <c r="B633" s="89"/>
      <c r="C633" s="89"/>
      <c r="D633" s="89"/>
      <c r="H633" s="89"/>
      <c r="I633" s="89"/>
      <c r="J633" s="89"/>
      <c r="K633" s="89"/>
      <c r="L633" s="89"/>
    </row>
    <row r="634" ht="14.25" customHeight="1">
      <c r="A634" s="89"/>
      <c r="B634" s="89"/>
      <c r="C634" s="89"/>
      <c r="D634" s="89"/>
      <c r="H634" s="89"/>
      <c r="I634" s="89"/>
      <c r="J634" s="89"/>
      <c r="K634" s="89"/>
      <c r="L634" s="89"/>
    </row>
    <row r="635" ht="14.25" customHeight="1">
      <c r="A635" s="89"/>
      <c r="B635" s="89"/>
      <c r="C635" s="89"/>
      <c r="D635" s="89"/>
      <c r="H635" s="89"/>
      <c r="I635" s="89"/>
      <c r="J635" s="89"/>
      <c r="K635" s="89"/>
      <c r="L635" s="89"/>
    </row>
    <row r="636" ht="14.25" customHeight="1">
      <c r="A636" s="89"/>
      <c r="B636" s="89"/>
      <c r="C636" s="89"/>
      <c r="D636" s="89"/>
      <c r="H636" s="89"/>
      <c r="I636" s="89"/>
      <c r="J636" s="89"/>
      <c r="K636" s="89"/>
      <c r="L636" s="89"/>
    </row>
    <row r="637" ht="14.25" customHeight="1">
      <c r="A637" s="89"/>
      <c r="B637" s="89"/>
      <c r="C637" s="89"/>
      <c r="D637" s="89"/>
      <c r="H637" s="89"/>
      <c r="I637" s="89"/>
      <c r="J637" s="89"/>
      <c r="K637" s="89"/>
      <c r="L637" s="89"/>
    </row>
    <row r="638" ht="14.25" customHeight="1">
      <c r="A638" s="89"/>
      <c r="B638" s="89"/>
      <c r="C638" s="89"/>
      <c r="D638" s="89"/>
      <c r="H638" s="89"/>
      <c r="I638" s="89"/>
      <c r="J638" s="89"/>
      <c r="K638" s="89"/>
      <c r="L638" s="89"/>
    </row>
    <row r="639" ht="14.25" customHeight="1">
      <c r="A639" s="89"/>
      <c r="B639" s="89"/>
      <c r="C639" s="89"/>
      <c r="D639" s="89"/>
      <c r="H639" s="89"/>
      <c r="I639" s="89"/>
      <c r="J639" s="89"/>
      <c r="K639" s="89"/>
      <c r="L639" s="89"/>
    </row>
    <row r="640" ht="14.25" customHeight="1">
      <c r="A640" s="89"/>
      <c r="B640" s="89"/>
      <c r="C640" s="89"/>
      <c r="D640" s="89"/>
      <c r="H640" s="89"/>
      <c r="I640" s="89"/>
      <c r="J640" s="89"/>
      <c r="K640" s="89"/>
      <c r="L640" s="89"/>
    </row>
    <row r="641" ht="14.25" customHeight="1">
      <c r="A641" s="89"/>
      <c r="B641" s="89"/>
      <c r="C641" s="89"/>
      <c r="D641" s="89"/>
      <c r="H641" s="89"/>
      <c r="I641" s="89"/>
      <c r="J641" s="89"/>
      <c r="K641" s="89"/>
      <c r="L641" s="89"/>
    </row>
    <row r="642" ht="14.25" customHeight="1">
      <c r="A642" s="89"/>
      <c r="B642" s="89"/>
      <c r="C642" s="89"/>
      <c r="D642" s="89"/>
      <c r="H642" s="89"/>
      <c r="I642" s="89"/>
      <c r="J642" s="89"/>
      <c r="K642" s="89"/>
      <c r="L642" s="89"/>
    </row>
    <row r="643" ht="14.25" customHeight="1">
      <c r="A643" s="89"/>
      <c r="B643" s="89"/>
      <c r="C643" s="89"/>
      <c r="D643" s="89"/>
      <c r="H643" s="89"/>
      <c r="I643" s="89"/>
      <c r="J643" s="89"/>
      <c r="K643" s="89"/>
      <c r="L643" s="89"/>
    </row>
    <row r="644" ht="14.25" customHeight="1">
      <c r="A644" s="89"/>
      <c r="B644" s="89"/>
      <c r="C644" s="89"/>
      <c r="D644" s="89"/>
      <c r="H644" s="89"/>
      <c r="I644" s="89"/>
      <c r="J644" s="89"/>
      <c r="K644" s="89"/>
      <c r="L644" s="89"/>
    </row>
    <row r="645" ht="14.25" customHeight="1">
      <c r="A645" s="89"/>
      <c r="B645" s="89"/>
      <c r="C645" s="89"/>
      <c r="D645" s="89"/>
      <c r="H645" s="89"/>
      <c r="I645" s="89"/>
      <c r="J645" s="89"/>
      <c r="K645" s="89"/>
      <c r="L645" s="89"/>
    </row>
    <row r="646" ht="14.25" customHeight="1">
      <c r="A646" s="89"/>
      <c r="B646" s="89"/>
      <c r="C646" s="89"/>
      <c r="D646" s="89"/>
      <c r="H646" s="89"/>
      <c r="I646" s="89"/>
      <c r="J646" s="89"/>
      <c r="K646" s="89"/>
      <c r="L646" s="89"/>
    </row>
    <row r="647" ht="14.25" customHeight="1">
      <c r="A647" s="89"/>
      <c r="B647" s="89"/>
      <c r="C647" s="89"/>
      <c r="D647" s="89"/>
      <c r="H647" s="89"/>
      <c r="I647" s="89"/>
      <c r="J647" s="89"/>
      <c r="K647" s="89"/>
      <c r="L647" s="89"/>
    </row>
    <row r="648" ht="14.25" customHeight="1">
      <c r="A648" s="89"/>
      <c r="B648" s="89"/>
      <c r="C648" s="89"/>
      <c r="D648" s="89"/>
      <c r="H648" s="89"/>
      <c r="I648" s="89"/>
      <c r="J648" s="89"/>
      <c r="K648" s="89"/>
      <c r="L648" s="89"/>
    </row>
    <row r="649" ht="14.25" customHeight="1">
      <c r="A649" s="89"/>
      <c r="B649" s="89"/>
      <c r="C649" s="89"/>
      <c r="D649" s="89"/>
      <c r="H649" s="89"/>
      <c r="I649" s="89"/>
      <c r="J649" s="89"/>
      <c r="K649" s="89"/>
      <c r="L649" s="89"/>
    </row>
    <row r="650" ht="14.25" customHeight="1">
      <c r="A650" s="89"/>
      <c r="B650" s="89"/>
      <c r="C650" s="89"/>
      <c r="D650" s="89"/>
      <c r="H650" s="89"/>
      <c r="I650" s="89"/>
      <c r="J650" s="89"/>
      <c r="K650" s="89"/>
      <c r="L650" s="89"/>
    </row>
    <row r="651" ht="14.25" customHeight="1">
      <c r="A651" s="89"/>
      <c r="B651" s="89"/>
      <c r="C651" s="89"/>
      <c r="D651" s="89"/>
      <c r="H651" s="89"/>
      <c r="I651" s="89"/>
      <c r="J651" s="89"/>
      <c r="K651" s="89"/>
      <c r="L651" s="89"/>
    </row>
    <row r="652" ht="14.25" customHeight="1">
      <c r="A652" s="89"/>
      <c r="B652" s="89"/>
      <c r="C652" s="89"/>
      <c r="D652" s="89"/>
      <c r="H652" s="89"/>
      <c r="I652" s="89"/>
      <c r="J652" s="89"/>
      <c r="K652" s="89"/>
      <c r="L652" s="89"/>
    </row>
    <row r="653" ht="14.25" customHeight="1">
      <c r="A653" s="89"/>
      <c r="B653" s="89"/>
      <c r="C653" s="89"/>
      <c r="D653" s="89"/>
      <c r="H653" s="89"/>
      <c r="I653" s="89"/>
      <c r="J653" s="89"/>
      <c r="K653" s="89"/>
      <c r="L653" s="89"/>
    </row>
    <row r="654" ht="14.25" customHeight="1">
      <c r="A654" s="89"/>
      <c r="B654" s="89"/>
      <c r="C654" s="89"/>
      <c r="D654" s="89"/>
      <c r="H654" s="89"/>
      <c r="I654" s="89"/>
      <c r="J654" s="89"/>
      <c r="K654" s="89"/>
      <c r="L654" s="89"/>
    </row>
    <row r="655" ht="14.25" customHeight="1">
      <c r="A655" s="89"/>
      <c r="B655" s="89"/>
      <c r="C655" s="89"/>
      <c r="D655" s="89"/>
      <c r="H655" s="89"/>
      <c r="I655" s="89"/>
      <c r="J655" s="89"/>
      <c r="K655" s="89"/>
      <c r="L655" s="89"/>
    </row>
    <row r="656" ht="14.25" customHeight="1">
      <c r="A656" s="89"/>
      <c r="B656" s="89"/>
      <c r="C656" s="89"/>
      <c r="D656" s="89"/>
      <c r="H656" s="89"/>
      <c r="I656" s="89"/>
      <c r="J656" s="89"/>
      <c r="K656" s="89"/>
      <c r="L656" s="89"/>
    </row>
    <row r="657" ht="14.25" customHeight="1">
      <c r="A657" s="89"/>
      <c r="B657" s="89"/>
      <c r="C657" s="89"/>
      <c r="D657" s="89"/>
      <c r="H657" s="89"/>
      <c r="I657" s="89"/>
      <c r="J657" s="89"/>
      <c r="K657" s="89"/>
      <c r="L657" s="89"/>
    </row>
    <row r="658" ht="14.25" customHeight="1">
      <c r="A658" s="89"/>
      <c r="B658" s="89"/>
      <c r="C658" s="89"/>
      <c r="D658" s="89"/>
      <c r="H658" s="89"/>
      <c r="I658" s="89"/>
      <c r="J658" s="89"/>
      <c r="K658" s="89"/>
      <c r="L658" s="89"/>
    </row>
    <row r="659" ht="14.25" customHeight="1">
      <c r="A659" s="89"/>
      <c r="B659" s="89"/>
      <c r="C659" s="89"/>
      <c r="D659" s="89"/>
      <c r="H659" s="89"/>
      <c r="I659" s="89"/>
      <c r="J659" s="89"/>
      <c r="K659" s="89"/>
      <c r="L659" s="89"/>
    </row>
    <row r="660" ht="14.25" customHeight="1">
      <c r="A660" s="89"/>
      <c r="B660" s="89"/>
      <c r="C660" s="89"/>
      <c r="D660" s="89"/>
      <c r="H660" s="89"/>
      <c r="I660" s="89"/>
      <c r="J660" s="89"/>
      <c r="K660" s="89"/>
      <c r="L660" s="89"/>
    </row>
    <row r="661" ht="14.25" customHeight="1">
      <c r="A661" s="89"/>
      <c r="B661" s="89"/>
      <c r="C661" s="89"/>
      <c r="D661" s="89"/>
      <c r="H661" s="89"/>
      <c r="I661" s="89"/>
      <c r="J661" s="89"/>
      <c r="K661" s="89"/>
      <c r="L661" s="89"/>
    </row>
    <row r="662" ht="14.25" customHeight="1">
      <c r="A662" s="89"/>
      <c r="B662" s="89"/>
      <c r="C662" s="89"/>
      <c r="D662" s="89"/>
      <c r="H662" s="89"/>
      <c r="I662" s="89"/>
      <c r="J662" s="89"/>
      <c r="K662" s="89"/>
      <c r="L662" s="89"/>
    </row>
    <row r="663" ht="14.25" customHeight="1">
      <c r="A663" s="89"/>
      <c r="B663" s="89"/>
      <c r="C663" s="89"/>
      <c r="D663" s="89"/>
      <c r="H663" s="89"/>
      <c r="I663" s="89"/>
      <c r="J663" s="89"/>
      <c r="K663" s="89"/>
      <c r="L663" s="89"/>
    </row>
    <row r="664" ht="14.25" customHeight="1">
      <c r="A664" s="89"/>
      <c r="B664" s="89"/>
      <c r="C664" s="89"/>
      <c r="D664" s="89"/>
      <c r="H664" s="89"/>
      <c r="I664" s="89"/>
      <c r="J664" s="89"/>
      <c r="K664" s="89"/>
      <c r="L664" s="89"/>
    </row>
    <row r="665" ht="14.25" customHeight="1">
      <c r="A665" s="89"/>
      <c r="B665" s="89"/>
      <c r="C665" s="89"/>
      <c r="D665" s="89"/>
      <c r="H665" s="89"/>
      <c r="I665" s="89"/>
      <c r="J665" s="89"/>
      <c r="K665" s="89"/>
      <c r="L665" s="89"/>
    </row>
    <row r="666" ht="14.25" customHeight="1">
      <c r="A666" s="89"/>
      <c r="B666" s="89"/>
      <c r="C666" s="89"/>
      <c r="D666" s="89"/>
      <c r="H666" s="89"/>
      <c r="I666" s="89"/>
      <c r="J666" s="89"/>
      <c r="K666" s="89"/>
      <c r="L666" s="89"/>
    </row>
    <row r="667" ht="14.25" customHeight="1">
      <c r="A667" s="89"/>
      <c r="B667" s="89"/>
      <c r="C667" s="89"/>
      <c r="D667" s="89"/>
      <c r="H667" s="89"/>
      <c r="I667" s="89"/>
      <c r="J667" s="89"/>
      <c r="K667" s="89"/>
      <c r="L667" s="89"/>
    </row>
    <row r="668" ht="14.25" customHeight="1">
      <c r="A668" s="89"/>
      <c r="B668" s="89"/>
      <c r="C668" s="89"/>
      <c r="D668" s="89"/>
      <c r="H668" s="89"/>
      <c r="I668" s="89"/>
      <c r="J668" s="89"/>
      <c r="K668" s="89"/>
      <c r="L668" s="89"/>
    </row>
    <row r="669" ht="14.25" customHeight="1">
      <c r="A669" s="89"/>
      <c r="B669" s="89"/>
      <c r="C669" s="89"/>
      <c r="D669" s="89"/>
      <c r="H669" s="89"/>
      <c r="I669" s="89"/>
      <c r="J669" s="89"/>
      <c r="K669" s="89"/>
      <c r="L669" s="89"/>
    </row>
    <row r="670" ht="14.25" customHeight="1">
      <c r="A670" s="89"/>
      <c r="B670" s="89"/>
      <c r="C670" s="89"/>
      <c r="D670" s="89"/>
      <c r="H670" s="89"/>
      <c r="I670" s="89"/>
      <c r="J670" s="89"/>
      <c r="K670" s="89"/>
      <c r="L670" s="89"/>
    </row>
    <row r="671" ht="14.25" customHeight="1">
      <c r="A671" s="89"/>
      <c r="B671" s="89"/>
      <c r="C671" s="89"/>
      <c r="D671" s="89"/>
      <c r="H671" s="89"/>
      <c r="I671" s="89"/>
      <c r="J671" s="89"/>
      <c r="K671" s="89"/>
      <c r="L671" s="89"/>
    </row>
    <row r="672" ht="14.25" customHeight="1">
      <c r="A672" s="89"/>
      <c r="B672" s="89"/>
      <c r="C672" s="89"/>
      <c r="D672" s="89"/>
      <c r="H672" s="89"/>
      <c r="I672" s="89"/>
      <c r="J672" s="89"/>
      <c r="K672" s="89"/>
      <c r="L672" s="89"/>
    </row>
    <row r="673" ht="14.25" customHeight="1">
      <c r="A673" s="89"/>
      <c r="B673" s="89"/>
      <c r="C673" s="89"/>
      <c r="D673" s="89"/>
      <c r="H673" s="89"/>
      <c r="I673" s="89"/>
      <c r="J673" s="89"/>
      <c r="K673" s="89"/>
      <c r="L673" s="89"/>
    </row>
    <row r="674" ht="14.25" customHeight="1">
      <c r="A674" s="89"/>
      <c r="B674" s="89"/>
      <c r="C674" s="89"/>
      <c r="D674" s="89"/>
      <c r="H674" s="89"/>
      <c r="I674" s="89"/>
      <c r="J674" s="89"/>
      <c r="K674" s="89"/>
      <c r="L674" s="89"/>
    </row>
    <row r="675" ht="14.25" customHeight="1">
      <c r="A675" s="89"/>
      <c r="B675" s="89"/>
      <c r="C675" s="89"/>
      <c r="D675" s="89"/>
      <c r="H675" s="89"/>
      <c r="I675" s="89"/>
      <c r="J675" s="89"/>
      <c r="K675" s="89"/>
      <c r="L675" s="89"/>
    </row>
    <row r="676" ht="14.25" customHeight="1">
      <c r="A676" s="89"/>
      <c r="B676" s="89"/>
      <c r="C676" s="89"/>
      <c r="D676" s="89"/>
      <c r="H676" s="89"/>
      <c r="I676" s="89"/>
      <c r="J676" s="89"/>
      <c r="K676" s="89"/>
      <c r="L676" s="89"/>
    </row>
    <row r="677" ht="14.25" customHeight="1">
      <c r="A677" s="89"/>
      <c r="B677" s="89"/>
      <c r="C677" s="89"/>
      <c r="D677" s="89"/>
      <c r="H677" s="89"/>
      <c r="I677" s="89"/>
      <c r="J677" s="89"/>
      <c r="K677" s="89"/>
      <c r="L677" s="89"/>
    </row>
    <row r="678" ht="14.25" customHeight="1">
      <c r="A678" s="89"/>
      <c r="B678" s="89"/>
      <c r="C678" s="89"/>
      <c r="D678" s="89"/>
      <c r="H678" s="89"/>
      <c r="I678" s="89"/>
      <c r="J678" s="89"/>
      <c r="K678" s="89"/>
      <c r="L678" s="89"/>
    </row>
    <row r="679" ht="14.25" customHeight="1">
      <c r="A679" s="89"/>
      <c r="B679" s="89"/>
      <c r="C679" s="89"/>
      <c r="D679" s="89"/>
      <c r="H679" s="89"/>
      <c r="I679" s="89"/>
      <c r="J679" s="89"/>
      <c r="K679" s="89"/>
      <c r="L679" s="89"/>
    </row>
    <row r="680" ht="14.25" customHeight="1">
      <c r="A680" s="89"/>
      <c r="B680" s="89"/>
      <c r="C680" s="89"/>
      <c r="D680" s="89"/>
      <c r="H680" s="89"/>
      <c r="I680" s="89"/>
      <c r="J680" s="89"/>
      <c r="K680" s="89"/>
      <c r="L680" s="89"/>
    </row>
    <row r="681" ht="14.25" customHeight="1">
      <c r="A681" s="89"/>
      <c r="B681" s="89"/>
      <c r="C681" s="89"/>
      <c r="D681" s="89"/>
      <c r="H681" s="89"/>
      <c r="I681" s="89"/>
      <c r="J681" s="89"/>
      <c r="K681" s="89"/>
      <c r="L681" s="89"/>
    </row>
    <row r="682" ht="14.25" customHeight="1">
      <c r="A682" s="89"/>
      <c r="B682" s="89"/>
      <c r="C682" s="89"/>
      <c r="D682" s="89"/>
      <c r="H682" s="89"/>
      <c r="I682" s="89"/>
      <c r="J682" s="89"/>
      <c r="K682" s="89"/>
      <c r="L682" s="89"/>
    </row>
    <row r="683" ht="14.25" customHeight="1">
      <c r="A683" s="89"/>
      <c r="B683" s="89"/>
      <c r="C683" s="89"/>
      <c r="D683" s="89"/>
      <c r="H683" s="89"/>
      <c r="I683" s="89"/>
      <c r="J683" s="89"/>
      <c r="K683" s="89"/>
      <c r="L683" s="89"/>
    </row>
    <row r="684" ht="14.25" customHeight="1">
      <c r="A684" s="89"/>
      <c r="B684" s="89"/>
      <c r="C684" s="89"/>
      <c r="D684" s="89"/>
      <c r="H684" s="89"/>
      <c r="I684" s="89"/>
      <c r="J684" s="89"/>
      <c r="K684" s="89"/>
      <c r="L684" s="89"/>
    </row>
    <row r="685" ht="14.25" customHeight="1">
      <c r="A685" s="89"/>
      <c r="B685" s="89"/>
      <c r="C685" s="89"/>
      <c r="D685" s="89"/>
      <c r="H685" s="89"/>
      <c r="I685" s="89"/>
      <c r="J685" s="89"/>
      <c r="K685" s="89"/>
      <c r="L685" s="89"/>
    </row>
    <row r="686" ht="14.25" customHeight="1">
      <c r="A686" s="89"/>
      <c r="B686" s="89"/>
      <c r="C686" s="89"/>
      <c r="D686" s="89"/>
      <c r="H686" s="89"/>
      <c r="I686" s="89"/>
      <c r="J686" s="89"/>
      <c r="K686" s="89"/>
      <c r="L686" s="89"/>
    </row>
    <row r="687" ht="14.25" customHeight="1">
      <c r="A687" s="89"/>
      <c r="B687" s="89"/>
      <c r="C687" s="89"/>
      <c r="D687" s="89"/>
      <c r="H687" s="89"/>
      <c r="I687" s="89"/>
      <c r="J687" s="89"/>
      <c r="K687" s="89"/>
      <c r="L687" s="89"/>
    </row>
    <row r="688" ht="14.25" customHeight="1">
      <c r="A688" s="89"/>
      <c r="B688" s="89"/>
      <c r="C688" s="89"/>
      <c r="D688" s="89"/>
      <c r="H688" s="89"/>
      <c r="I688" s="89"/>
      <c r="J688" s="89"/>
      <c r="K688" s="89"/>
      <c r="L688" s="89"/>
    </row>
    <row r="689" ht="14.25" customHeight="1">
      <c r="A689" s="89"/>
      <c r="B689" s="89"/>
      <c r="C689" s="89"/>
      <c r="D689" s="89"/>
      <c r="H689" s="89"/>
      <c r="I689" s="89"/>
      <c r="J689" s="89"/>
      <c r="K689" s="89"/>
      <c r="L689" s="89"/>
    </row>
    <row r="690" ht="14.25" customHeight="1">
      <c r="A690" s="89"/>
      <c r="B690" s="89"/>
      <c r="C690" s="89"/>
      <c r="D690" s="89"/>
      <c r="H690" s="89"/>
      <c r="I690" s="89"/>
      <c r="J690" s="89"/>
      <c r="K690" s="89"/>
      <c r="L690" s="89"/>
    </row>
    <row r="691" ht="14.25" customHeight="1">
      <c r="A691" s="89"/>
      <c r="B691" s="89"/>
      <c r="C691" s="89"/>
      <c r="D691" s="89"/>
      <c r="H691" s="89"/>
      <c r="I691" s="89"/>
      <c r="J691" s="89"/>
      <c r="K691" s="89"/>
      <c r="L691" s="89"/>
    </row>
    <row r="692" ht="14.25" customHeight="1">
      <c r="A692" s="89"/>
      <c r="B692" s="89"/>
      <c r="C692" s="89"/>
      <c r="D692" s="89"/>
      <c r="H692" s="89"/>
      <c r="I692" s="89"/>
      <c r="J692" s="89"/>
      <c r="K692" s="89"/>
      <c r="L692" s="89"/>
    </row>
    <row r="693" ht="14.25" customHeight="1">
      <c r="A693" s="89"/>
      <c r="B693" s="89"/>
      <c r="C693" s="89"/>
      <c r="D693" s="89"/>
      <c r="H693" s="89"/>
      <c r="I693" s="89"/>
      <c r="J693" s="89"/>
      <c r="K693" s="89"/>
      <c r="L693" s="89"/>
    </row>
    <row r="694" ht="14.25" customHeight="1">
      <c r="A694" s="89"/>
      <c r="B694" s="89"/>
      <c r="C694" s="89"/>
      <c r="D694" s="89"/>
      <c r="H694" s="89"/>
      <c r="I694" s="89"/>
      <c r="J694" s="89"/>
      <c r="K694" s="89"/>
      <c r="L694" s="89"/>
    </row>
    <row r="695" ht="14.25" customHeight="1">
      <c r="A695" s="89"/>
      <c r="B695" s="89"/>
      <c r="C695" s="89"/>
      <c r="D695" s="89"/>
      <c r="H695" s="89"/>
      <c r="I695" s="89"/>
      <c r="J695" s="89"/>
      <c r="K695" s="89"/>
      <c r="L695" s="89"/>
    </row>
    <row r="696" ht="14.25" customHeight="1">
      <c r="A696" s="89"/>
      <c r="B696" s="89"/>
      <c r="C696" s="89"/>
      <c r="D696" s="89"/>
      <c r="H696" s="89"/>
      <c r="I696" s="89"/>
      <c r="J696" s="89"/>
      <c r="K696" s="89"/>
      <c r="L696" s="89"/>
    </row>
    <row r="697" ht="14.25" customHeight="1">
      <c r="A697" s="89"/>
      <c r="B697" s="89"/>
      <c r="C697" s="89"/>
      <c r="D697" s="89"/>
      <c r="H697" s="89"/>
      <c r="I697" s="89"/>
      <c r="J697" s="89"/>
      <c r="K697" s="89"/>
      <c r="L697" s="89"/>
    </row>
    <row r="698" ht="14.25" customHeight="1">
      <c r="A698" s="89"/>
      <c r="B698" s="89"/>
      <c r="C698" s="89"/>
      <c r="D698" s="89"/>
      <c r="H698" s="89"/>
      <c r="I698" s="89"/>
      <c r="J698" s="89"/>
      <c r="K698" s="89"/>
      <c r="L698" s="89"/>
    </row>
    <row r="699" ht="14.25" customHeight="1">
      <c r="A699" s="89"/>
      <c r="B699" s="89"/>
      <c r="C699" s="89"/>
      <c r="D699" s="89"/>
      <c r="H699" s="89"/>
      <c r="I699" s="89"/>
      <c r="J699" s="89"/>
      <c r="K699" s="89"/>
      <c r="L699" s="89"/>
    </row>
    <row r="700" ht="14.25" customHeight="1">
      <c r="A700" s="89"/>
      <c r="B700" s="89"/>
      <c r="C700" s="89"/>
      <c r="D700" s="89"/>
      <c r="H700" s="89"/>
      <c r="I700" s="89"/>
      <c r="J700" s="89"/>
      <c r="K700" s="89"/>
      <c r="L700" s="89"/>
    </row>
    <row r="701" ht="14.25" customHeight="1">
      <c r="A701" s="89"/>
      <c r="B701" s="89"/>
      <c r="C701" s="89"/>
      <c r="D701" s="89"/>
      <c r="H701" s="89"/>
      <c r="I701" s="89"/>
      <c r="J701" s="89"/>
      <c r="K701" s="89"/>
      <c r="L701" s="89"/>
    </row>
    <row r="702" ht="14.25" customHeight="1">
      <c r="A702" s="89"/>
      <c r="B702" s="89"/>
      <c r="C702" s="89"/>
      <c r="D702" s="89"/>
      <c r="H702" s="89"/>
      <c r="I702" s="89"/>
      <c r="J702" s="89"/>
      <c r="K702" s="89"/>
      <c r="L702" s="89"/>
    </row>
    <row r="703" ht="14.25" customHeight="1">
      <c r="A703" s="89"/>
      <c r="B703" s="89"/>
      <c r="C703" s="89"/>
      <c r="D703" s="89"/>
      <c r="H703" s="89"/>
      <c r="I703" s="89"/>
      <c r="J703" s="89"/>
      <c r="K703" s="89"/>
      <c r="L703" s="89"/>
    </row>
    <row r="704" ht="14.25" customHeight="1">
      <c r="A704" s="89"/>
      <c r="B704" s="89"/>
      <c r="C704" s="89"/>
      <c r="D704" s="89"/>
      <c r="H704" s="89"/>
      <c r="I704" s="89"/>
      <c r="J704" s="89"/>
      <c r="K704" s="89"/>
      <c r="L704" s="89"/>
    </row>
    <row r="705" ht="14.25" customHeight="1">
      <c r="A705" s="89"/>
      <c r="B705" s="89"/>
      <c r="C705" s="89"/>
      <c r="D705" s="89"/>
      <c r="H705" s="89"/>
      <c r="I705" s="89"/>
      <c r="J705" s="89"/>
      <c r="K705" s="89"/>
      <c r="L705" s="89"/>
    </row>
    <row r="706" ht="14.25" customHeight="1">
      <c r="A706" s="89"/>
      <c r="B706" s="89"/>
      <c r="C706" s="89"/>
      <c r="D706" s="89"/>
      <c r="H706" s="89"/>
      <c r="I706" s="89"/>
      <c r="J706" s="89"/>
      <c r="K706" s="89"/>
      <c r="L706" s="89"/>
    </row>
    <row r="707" ht="14.25" customHeight="1">
      <c r="A707" s="89"/>
      <c r="B707" s="89"/>
      <c r="C707" s="89"/>
      <c r="D707" s="89"/>
      <c r="H707" s="89"/>
      <c r="I707" s="89"/>
      <c r="J707" s="89"/>
      <c r="K707" s="89"/>
      <c r="L707" s="89"/>
    </row>
    <row r="708" ht="14.25" customHeight="1">
      <c r="A708" s="89"/>
      <c r="B708" s="89"/>
      <c r="C708" s="89"/>
      <c r="D708" s="89"/>
      <c r="H708" s="89"/>
      <c r="I708" s="89"/>
      <c r="J708" s="89"/>
      <c r="K708" s="89"/>
      <c r="L708" s="89"/>
    </row>
    <row r="709" ht="14.25" customHeight="1">
      <c r="A709" s="89"/>
      <c r="B709" s="89"/>
      <c r="C709" s="89"/>
      <c r="D709" s="89"/>
      <c r="H709" s="89"/>
      <c r="I709" s="89"/>
      <c r="J709" s="89"/>
      <c r="K709" s="89"/>
      <c r="L709" s="89"/>
    </row>
    <row r="710" ht="14.25" customHeight="1">
      <c r="A710" s="89"/>
      <c r="B710" s="89"/>
      <c r="C710" s="89"/>
      <c r="D710" s="89"/>
      <c r="H710" s="89"/>
      <c r="I710" s="89"/>
      <c r="J710" s="89"/>
      <c r="K710" s="89"/>
      <c r="L710" s="89"/>
    </row>
    <row r="711" ht="14.25" customHeight="1">
      <c r="A711" s="89"/>
      <c r="B711" s="89"/>
      <c r="C711" s="89"/>
      <c r="D711" s="89"/>
      <c r="H711" s="89"/>
      <c r="I711" s="89"/>
      <c r="J711" s="89"/>
      <c r="K711" s="89"/>
      <c r="L711" s="89"/>
    </row>
    <row r="712" ht="14.25" customHeight="1">
      <c r="A712" s="89"/>
      <c r="B712" s="89"/>
      <c r="C712" s="89"/>
      <c r="D712" s="89"/>
      <c r="H712" s="89"/>
      <c r="I712" s="89"/>
      <c r="J712" s="89"/>
      <c r="K712" s="89"/>
      <c r="L712" s="89"/>
    </row>
    <row r="713" ht="14.25" customHeight="1">
      <c r="A713" s="89"/>
      <c r="B713" s="89"/>
      <c r="C713" s="89"/>
      <c r="D713" s="89"/>
      <c r="H713" s="89"/>
      <c r="I713" s="89"/>
      <c r="J713" s="89"/>
      <c r="K713" s="89"/>
      <c r="L713" s="89"/>
    </row>
    <row r="714" ht="14.25" customHeight="1">
      <c r="A714" s="89"/>
      <c r="B714" s="89"/>
      <c r="C714" s="89"/>
      <c r="D714" s="89"/>
      <c r="H714" s="89"/>
      <c r="I714" s="89"/>
      <c r="J714" s="89"/>
      <c r="K714" s="89"/>
      <c r="L714" s="89"/>
    </row>
    <row r="715" ht="14.25" customHeight="1">
      <c r="A715" s="89"/>
      <c r="B715" s="89"/>
      <c r="C715" s="89"/>
      <c r="D715" s="89"/>
      <c r="H715" s="89"/>
      <c r="I715" s="89"/>
      <c r="J715" s="89"/>
      <c r="K715" s="89"/>
      <c r="L715" s="89"/>
    </row>
    <row r="716" ht="14.25" customHeight="1">
      <c r="A716" s="89"/>
      <c r="B716" s="89"/>
      <c r="C716" s="89"/>
      <c r="D716" s="89"/>
      <c r="H716" s="89"/>
      <c r="I716" s="89"/>
      <c r="J716" s="89"/>
      <c r="K716" s="89"/>
      <c r="L716" s="89"/>
    </row>
    <row r="717" ht="14.25" customHeight="1">
      <c r="A717" s="89"/>
      <c r="B717" s="89"/>
      <c r="C717" s="89"/>
      <c r="D717" s="89"/>
      <c r="H717" s="89"/>
      <c r="I717" s="89"/>
      <c r="J717" s="89"/>
      <c r="K717" s="89"/>
      <c r="L717" s="89"/>
    </row>
    <row r="718" ht="14.25" customHeight="1">
      <c r="A718" s="89"/>
      <c r="B718" s="89"/>
      <c r="C718" s="89"/>
      <c r="D718" s="89"/>
      <c r="H718" s="89"/>
      <c r="I718" s="89"/>
      <c r="J718" s="89"/>
      <c r="K718" s="89"/>
      <c r="L718" s="89"/>
    </row>
    <row r="719" ht="14.25" customHeight="1">
      <c r="A719" s="89"/>
      <c r="B719" s="89"/>
      <c r="C719" s="89"/>
      <c r="D719" s="89"/>
      <c r="H719" s="89"/>
      <c r="I719" s="89"/>
      <c r="J719" s="89"/>
      <c r="K719" s="89"/>
      <c r="L719" s="89"/>
    </row>
    <row r="720" ht="14.25" customHeight="1">
      <c r="A720" s="89"/>
      <c r="B720" s="89"/>
      <c r="C720" s="89"/>
      <c r="D720" s="89"/>
      <c r="H720" s="89"/>
      <c r="I720" s="89"/>
      <c r="J720" s="89"/>
      <c r="K720" s="89"/>
      <c r="L720" s="89"/>
    </row>
    <row r="721" ht="14.25" customHeight="1">
      <c r="A721" s="89"/>
      <c r="B721" s="89"/>
      <c r="C721" s="89"/>
      <c r="D721" s="89"/>
      <c r="H721" s="89"/>
      <c r="I721" s="89"/>
      <c r="J721" s="89"/>
      <c r="K721" s="89"/>
      <c r="L721" s="89"/>
    </row>
    <row r="722" ht="14.25" customHeight="1">
      <c r="A722" s="89"/>
      <c r="B722" s="89"/>
      <c r="C722" s="89"/>
      <c r="D722" s="89"/>
      <c r="H722" s="89"/>
      <c r="I722" s="89"/>
      <c r="J722" s="89"/>
      <c r="K722" s="89"/>
      <c r="L722" s="89"/>
    </row>
    <row r="723" ht="14.25" customHeight="1">
      <c r="A723" s="89"/>
      <c r="B723" s="89"/>
      <c r="C723" s="89"/>
      <c r="D723" s="89"/>
      <c r="H723" s="89"/>
      <c r="I723" s="89"/>
      <c r="J723" s="89"/>
      <c r="K723" s="89"/>
      <c r="L723" s="89"/>
    </row>
    <row r="724" ht="14.25" customHeight="1">
      <c r="A724" s="89"/>
      <c r="B724" s="89"/>
      <c r="C724" s="89"/>
      <c r="D724" s="89"/>
      <c r="H724" s="89"/>
      <c r="I724" s="89"/>
      <c r="J724" s="89"/>
      <c r="K724" s="89"/>
      <c r="L724" s="89"/>
    </row>
    <row r="725" ht="14.25" customHeight="1">
      <c r="A725" s="89"/>
      <c r="B725" s="89"/>
      <c r="C725" s="89"/>
      <c r="D725" s="89"/>
      <c r="H725" s="89"/>
      <c r="I725" s="89"/>
      <c r="J725" s="89"/>
      <c r="K725" s="89"/>
      <c r="L725" s="89"/>
    </row>
    <row r="726" ht="14.25" customHeight="1">
      <c r="A726" s="89"/>
      <c r="B726" s="89"/>
      <c r="C726" s="89"/>
      <c r="D726" s="89"/>
      <c r="H726" s="89"/>
      <c r="I726" s="89"/>
      <c r="J726" s="89"/>
      <c r="K726" s="89"/>
      <c r="L726" s="89"/>
    </row>
    <row r="727" ht="14.25" customHeight="1">
      <c r="A727" s="89"/>
      <c r="B727" s="89"/>
      <c r="C727" s="89"/>
      <c r="D727" s="89"/>
      <c r="H727" s="89"/>
      <c r="I727" s="89"/>
      <c r="J727" s="89"/>
      <c r="K727" s="89"/>
      <c r="L727" s="89"/>
    </row>
    <row r="728" ht="14.25" customHeight="1">
      <c r="A728" s="89"/>
      <c r="B728" s="89"/>
      <c r="C728" s="89"/>
      <c r="D728" s="89"/>
      <c r="H728" s="89"/>
      <c r="I728" s="89"/>
      <c r="J728" s="89"/>
      <c r="K728" s="89"/>
      <c r="L728" s="89"/>
    </row>
    <row r="729" ht="14.25" customHeight="1">
      <c r="A729" s="89"/>
      <c r="B729" s="89"/>
      <c r="C729" s="89"/>
      <c r="D729" s="89"/>
      <c r="H729" s="89"/>
      <c r="I729" s="89"/>
      <c r="J729" s="89"/>
      <c r="K729" s="89"/>
      <c r="L729" s="89"/>
    </row>
    <row r="730" ht="14.25" customHeight="1">
      <c r="A730" s="89"/>
      <c r="B730" s="89"/>
      <c r="C730" s="89"/>
      <c r="D730" s="89"/>
      <c r="H730" s="89"/>
      <c r="I730" s="89"/>
      <c r="J730" s="89"/>
      <c r="K730" s="89"/>
      <c r="L730" s="89"/>
    </row>
    <row r="731" ht="14.25" customHeight="1">
      <c r="A731" s="89"/>
      <c r="B731" s="89"/>
      <c r="C731" s="89"/>
      <c r="D731" s="89"/>
      <c r="H731" s="89"/>
      <c r="I731" s="89"/>
      <c r="J731" s="89"/>
      <c r="K731" s="89"/>
      <c r="L731" s="89"/>
    </row>
    <row r="732" ht="14.25" customHeight="1">
      <c r="A732" s="89"/>
      <c r="B732" s="89"/>
      <c r="C732" s="89"/>
      <c r="D732" s="89"/>
      <c r="H732" s="89"/>
      <c r="I732" s="89"/>
      <c r="J732" s="89"/>
      <c r="K732" s="89"/>
      <c r="L732" s="89"/>
    </row>
    <row r="733" ht="14.25" customHeight="1">
      <c r="A733" s="89"/>
      <c r="B733" s="89"/>
      <c r="C733" s="89"/>
      <c r="D733" s="89"/>
      <c r="H733" s="89"/>
      <c r="I733" s="89"/>
      <c r="J733" s="89"/>
      <c r="K733" s="89"/>
      <c r="L733" s="89"/>
    </row>
    <row r="734" ht="14.25" customHeight="1">
      <c r="A734" s="89"/>
      <c r="B734" s="89"/>
      <c r="C734" s="89"/>
      <c r="D734" s="89"/>
      <c r="H734" s="89"/>
      <c r="I734" s="89"/>
      <c r="J734" s="89"/>
      <c r="K734" s="89"/>
      <c r="L734" s="89"/>
    </row>
    <row r="735" ht="14.25" customHeight="1">
      <c r="A735" s="89"/>
      <c r="B735" s="89"/>
      <c r="C735" s="89"/>
      <c r="D735" s="89"/>
      <c r="H735" s="89"/>
      <c r="I735" s="89"/>
      <c r="J735" s="89"/>
      <c r="K735" s="89"/>
      <c r="L735" s="89"/>
    </row>
    <row r="736" ht="14.25" customHeight="1">
      <c r="A736" s="89"/>
      <c r="B736" s="89"/>
      <c r="C736" s="89"/>
      <c r="D736" s="89"/>
      <c r="H736" s="89"/>
      <c r="I736" s="89"/>
      <c r="J736" s="89"/>
      <c r="K736" s="89"/>
      <c r="L736" s="89"/>
    </row>
    <row r="737" ht="14.25" customHeight="1">
      <c r="A737" s="89"/>
      <c r="B737" s="89"/>
      <c r="C737" s="89"/>
      <c r="D737" s="89"/>
      <c r="H737" s="89"/>
      <c r="I737" s="89"/>
      <c r="J737" s="89"/>
      <c r="K737" s="89"/>
      <c r="L737" s="89"/>
    </row>
    <row r="738" ht="14.25" customHeight="1">
      <c r="A738" s="89"/>
      <c r="B738" s="89"/>
      <c r="C738" s="89"/>
      <c r="D738" s="89"/>
      <c r="H738" s="89"/>
      <c r="I738" s="89"/>
      <c r="J738" s="89"/>
      <c r="K738" s="89"/>
      <c r="L738" s="89"/>
    </row>
    <row r="739" ht="14.25" customHeight="1">
      <c r="A739" s="89"/>
      <c r="B739" s="89"/>
      <c r="C739" s="89"/>
      <c r="D739" s="89"/>
      <c r="H739" s="89"/>
      <c r="I739" s="89"/>
      <c r="J739" s="89"/>
      <c r="K739" s="89"/>
      <c r="L739" s="89"/>
    </row>
    <row r="740" ht="14.25" customHeight="1">
      <c r="A740" s="89"/>
      <c r="B740" s="89"/>
      <c r="C740" s="89"/>
      <c r="D740" s="89"/>
      <c r="H740" s="89"/>
      <c r="I740" s="89"/>
      <c r="J740" s="89"/>
      <c r="K740" s="89"/>
      <c r="L740" s="89"/>
    </row>
    <row r="741" ht="14.25" customHeight="1">
      <c r="A741" s="89"/>
      <c r="B741" s="89"/>
      <c r="C741" s="89"/>
      <c r="D741" s="89"/>
      <c r="H741" s="89"/>
      <c r="I741" s="89"/>
      <c r="J741" s="89"/>
      <c r="K741" s="89"/>
      <c r="L741" s="89"/>
    </row>
    <row r="742" ht="14.25" customHeight="1">
      <c r="A742" s="89"/>
      <c r="B742" s="89"/>
      <c r="C742" s="89"/>
      <c r="D742" s="89"/>
      <c r="H742" s="89"/>
      <c r="I742" s="89"/>
      <c r="J742" s="89"/>
      <c r="K742" s="89"/>
      <c r="L742" s="89"/>
    </row>
    <row r="743" ht="14.25" customHeight="1">
      <c r="A743" s="89"/>
      <c r="B743" s="89"/>
      <c r="C743" s="89"/>
      <c r="D743" s="89"/>
      <c r="H743" s="89"/>
      <c r="I743" s="89"/>
      <c r="J743" s="89"/>
      <c r="K743" s="89"/>
      <c r="L743" s="89"/>
    </row>
    <row r="744" ht="14.25" customHeight="1">
      <c r="A744" s="89"/>
      <c r="B744" s="89"/>
      <c r="C744" s="89"/>
      <c r="D744" s="89"/>
      <c r="H744" s="89"/>
      <c r="I744" s="89"/>
      <c r="J744" s="89"/>
      <c r="K744" s="89"/>
      <c r="L744" s="89"/>
    </row>
    <row r="745" ht="14.25" customHeight="1">
      <c r="A745" s="89"/>
      <c r="B745" s="89"/>
      <c r="C745" s="89"/>
      <c r="D745" s="89"/>
      <c r="H745" s="89"/>
      <c r="I745" s="89"/>
      <c r="J745" s="89"/>
      <c r="K745" s="89"/>
      <c r="L745" s="89"/>
    </row>
    <row r="746" ht="14.25" customHeight="1">
      <c r="A746" s="89"/>
      <c r="B746" s="89"/>
      <c r="C746" s="89"/>
      <c r="D746" s="89"/>
      <c r="H746" s="89"/>
      <c r="I746" s="89"/>
      <c r="J746" s="89"/>
      <c r="K746" s="89"/>
      <c r="L746" s="89"/>
    </row>
    <row r="747" ht="14.25" customHeight="1">
      <c r="A747" s="89"/>
      <c r="B747" s="89"/>
      <c r="C747" s="89"/>
      <c r="D747" s="89"/>
      <c r="H747" s="89"/>
      <c r="I747" s="89"/>
      <c r="J747" s="89"/>
      <c r="K747" s="89"/>
      <c r="L747" s="89"/>
    </row>
    <row r="748" ht="14.25" customHeight="1">
      <c r="A748" s="89"/>
      <c r="B748" s="89"/>
      <c r="C748" s="89"/>
      <c r="D748" s="89"/>
      <c r="H748" s="89"/>
      <c r="I748" s="89"/>
      <c r="J748" s="89"/>
      <c r="K748" s="89"/>
      <c r="L748" s="89"/>
    </row>
    <row r="749" ht="14.25" customHeight="1">
      <c r="A749" s="89"/>
      <c r="B749" s="89"/>
      <c r="C749" s="89"/>
      <c r="D749" s="89"/>
      <c r="H749" s="89"/>
      <c r="I749" s="89"/>
      <c r="J749" s="89"/>
      <c r="K749" s="89"/>
      <c r="L749" s="89"/>
    </row>
    <row r="750" ht="14.25" customHeight="1">
      <c r="A750" s="89"/>
      <c r="B750" s="89"/>
      <c r="C750" s="89"/>
      <c r="D750" s="89"/>
      <c r="H750" s="89"/>
      <c r="I750" s="89"/>
      <c r="J750" s="89"/>
      <c r="K750" s="89"/>
      <c r="L750" s="89"/>
    </row>
    <row r="751" ht="14.25" customHeight="1">
      <c r="A751" s="89"/>
      <c r="B751" s="89"/>
      <c r="C751" s="89"/>
      <c r="D751" s="89"/>
      <c r="H751" s="89"/>
      <c r="I751" s="89"/>
      <c r="J751" s="89"/>
      <c r="K751" s="89"/>
      <c r="L751" s="89"/>
    </row>
    <row r="752" ht="14.25" customHeight="1">
      <c r="A752" s="89"/>
      <c r="B752" s="89"/>
      <c r="C752" s="89"/>
      <c r="D752" s="89"/>
      <c r="H752" s="89"/>
      <c r="I752" s="89"/>
      <c r="J752" s="89"/>
      <c r="K752" s="89"/>
      <c r="L752" s="89"/>
    </row>
    <row r="753" ht="14.25" customHeight="1">
      <c r="A753" s="89"/>
      <c r="B753" s="89"/>
      <c r="C753" s="89"/>
      <c r="D753" s="89"/>
      <c r="H753" s="89"/>
      <c r="I753" s="89"/>
      <c r="J753" s="89"/>
      <c r="K753" s="89"/>
      <c r="L753" s="89"/>
    </row>
    <row r="754" ht="14.25" customHeight="1">
      <c r="A754" s="89"/>
      <c r="B754" s="89"/>
      <c r="C754" s="89"/>
      <c r="D754" s="89"/>
      <c r="H754" s="89"/>
      <c r="I754" s="89"/>
      <c r="J754" s="89"/>
      <c r="K754" s="89"/>
      <c r="L754" s="89"/>
    </row>
    <row r="755" ht="14.25" customHeight="1">
      <c r="A755" s="89"/>
      <c r="B755" s="89"/>
      <c r="C755" s="89"/>
      <c r="D755" s="89"/>
      <c r="H755" s="89"/>
      <c r="I755" s="89"/>
      <c r="J755" s="89"/>
      <c r="K755" s="89"/>
      <c r="L755" s="89"/>
    </row>
    <row r="756" ht="14.25" customHeight="1">
      <c r="A756" s="89"/>
      <c r="B756" s="89"/>
      <c r="C756" s="89"/>
      <c r="D756" s="89"/>
      <c r="H756" s="89"/>
      <c r="I756" s="89"/>
      <c r="J756" s="89"/>
      <c r="K756" s="89"/>
      <c r="L756" s="89"/>
    </row>
    <row r="757" ht="14.25" customHeight="1">
      <c r="A757" s="89"/>
      <c r="B757" s="89"/>
      <c r="C757" s="89"/>
      <c r="D757" s="89"/>
      <c r="H757" s="89"/>
      <c r="I757" s="89"/>
      <c r="J757" s="89"/>
      <c r="K757" s="89"/>
      <c r="L757" s="89"/>
    </row>
    <row r="758" ht="14.25" customHeight="1">
      <c r="A758" s="89"/>
      <c r="B758" s="89"/>
      <c r="C758" s="89"/>
      <c r="D758" s="89"/>
      <c r="H758" s="89"/>
      <c r="I758" s="89"/>
      <c r="J758" s="89"/>
      <c r="K758" s="89"/>
      <c r="L758" s="89"/>
    </row>
    <row r="759" ht="14.25" customHeight="1">
      <c r="A759" s="89"/>
      <c r="B759" s="89"/>
      <c r="C759" s="89"/>
      <c r="D759" s="89"/>
      <c r="H759" s="89"/>
      <c r="I759" s="89"/>
      <c r="J759" s="89"/>
      <c r="K759" s="89"/>
      <c r="L759" s="89"/>
    </row>
    <row r="760" ht="14.25" customHeight="1">
      <c r="A760" s="89"/>
      <c r="B760" s="89"/>
      <c r="C760" s="89"/>
      <c r="D760" s="89"/>
      <c r="H760" s="89"/>
      <c r="I760" s="89"/>
      <c r="J760" s="89"/>
      <c r="K760" s="89"/>
      <c r="L760" s="89"/>
    </row>
    <row r="761" ht="14.25" customHeight="1">
      <c r="A761" s="89"/>
      <c r="B761" s="89"/>
      <c r="C761" s="89"/>
      <c r="D761" s="89"/>
      <c r="H761" s="89"/>
      <c r="I761" s="89"/>
      <c r="J761" s="89"/>
      <c r="K761" s="89"/>
      <c r="L761" s="89"/>
    </row>
    <row r="762" ht="14.25" customHeight="1">
      <c r="A762" s="89"/>
      <c r="B762" s="89"/>
      <c r="C762" s="89"/>
      <c r="D762" s="89"/>
      <c r="H762" s="89"/>
      <c r="I762" s="89"/>
      <c r="J762" s="89"/>
      <c r="K762" s="89"/>
      <c r="L762" s="89"/>
    </row>
    <row r="763" ht="14.25" customHeight="1">
      <c r="A763" s="89"/>
      <c r="B763" s="89"/>
      <c r="C763" s="89"/>
      <c r="D763" s="89"/>
      <c r="H763" s="89"/>
      <c r="I763" s="89"/>
      <c r="J763" s="89"/>
      <c r="K763" s="89"/>
      <c r="L763" s="89"/>
    </row>
    <row r="764" ht="14.25" customHeight="1">
      <c r="A764" s="89"/>
      <c r="B764" s="89"/>
      <c r="C764" s="89"/>
      <c r="D764" s="89"/>
      <c r="H764" s="89"/>
      <c r="I764" s="89"/>
      <c r="J764" s="89"/>
      <c r="K764" s="89"/>
      <c r="L764" s="89"/>
    </row>
    <row r="765" ht="14.25" customHeight="1">
      <c r="A765" s="89"/>
      <c r="B765" s="89"/>
      <c r="C765" s="89"/>
      <c r="D765" s="89"/>
      <c r="H765" s="89"/>
      <c r="I765" s="89"/>
      <c r="J765" s="89"/>
      <c r="K765" s="89"/>
      <c r="L765" s="89"/>
    </row>
    <row r="766" ht="14.25" customHeight="1">
      <c r="A766" s="89"/>
      <c r="B766" s="89"/>
      <c r="C766" s="89"/>
      <c r="D766" s="89"/>
      <c r="H766" s="89"/>
      <c r="I766" s="89"/>
      <c r="J766" s="89"/>
      <c r="K766" s="89"/>
      <c r="L766" s="89"/>
    </row>
    <row r="767" ht="14.25" customHeight="1">
      <c r="A767" s="89"/>
      <c r="B767" s="89"/>
      <c r="C767" s="89"/>
      <c r="D767" s="89"/>
      <c r="H767" s="89"/>
      <c r="I767" s="89"/>
      <c r="J767" s="89"/>
      <c r="K767" s="89"/>
      <c r="L767" s="89"/>
    </row>
    <row r="768" ht="14.25" customHeight="1">
      <c r="A768" s="89"/>
      <c r="B768" s="89"/>
      <c r="C768" s="89"/>
      <c r="D768" s="89"/>
      <c r="H768" s="89"/>
      <c r="I768" s="89"/>
      <c r="J768" s="89"/>
      <c r="K768" s="89"/>
      <c r="L768" s="89"/>
    </row>
    <row r="769" ht="14.25" customHeight="1">
      <c r="A769" s="89"/>
      <c r="B769" s="89"/>
      <c r="C769" s="89"/>
      <c r="D769" s="89"/>
      <c r="H769" s="89"/>
      <c r="I769" s="89"/>
      <c r="J769" s="89"/>
      <c r="K769" s="89"/>
      <c r="L769" s="89"/>
    </row>
    <row r="770" ht="14.25" customHeight="1">
      <c r="A770" s="89"/>
      <c r="B770" s="89"/>
      <c r="C770" s="89"/>
      <c r="D770" s="89"/>
      <c r="H770" s="89"/>
      <c r="I770" s="89"/>
      <c r="J770" s="89"/>
      <c r="K770" s="89"/>
      <c r="L770" s="89"/>
    </row>
    <row r="771" ht="14.25" customHeight="1">
      <c r="A771" s="89"/>
      <c r="B771" s="89"/>
      <c r="C771" s="89"/>
      <c r="D771" s="89"/>
      <c r="H771" s="89"/>
      <c r="I771" s="89"/>
      <c r="J771" s="89"/>
      <c r="K771" s="89"/>
      <c r="L771" s="89"/>
    </row>
    <row r="772" ht="14.25" customHeight="1">
      <c r="A772" s="89"/>
      <c r="B772" s="89"/>
      <c r="C772" s="89"/>
      <c r="D772" s="89"/>
      <c r="H772" s="89"/>
      <c r="I772" s="89"/>
      <c r="J772" s="89"/>
      <c r="K772" s="89"/>
      <c r="L772" s="89"/>
    </row>
    <row r="773" ht="14.25" customHeight="1">
      <c r="A773" s="89"/>
      <c r="B773" s="89"/>
      <c r="C773" s="89"/>
      <c r="D773" s="89"/>
      <c r="H773" s="89"/>
      <c r="I773" s="89"/>
      <c r="J773" s="89"/>
      <c r="K773" s="89"/>
      <c r="L773" s="89"/>
    </row>
    <row r="774" ht="14.25" customHeight="1">
      <c r="A774" s="89"/>
      <c r="B774" s="89"/>
      <c r="C774" s="89"/>
      <c r="D774" s="89"/>
      <c r="H774" s="89"/>
      <c r="I774" s="89"/>
      <c r="J774" s="89"/>
      <c r="K774" s="89"/>
      <c r="L774" s="89"/>
    </row>
    <row r="775" ht="14.25" customHeight="1">
      <c r="A775" s="89"/>
      <c r="B775" s="89"/>
      <c r="C775" s="89"/>
      <c r="D775" s="89"/>
      <c r="H775" s="89"/>
      <c r="I775" s="89"/>
      <c r="J775" s="89"/>
      <c r="K775" s="89"/>
      <c r="L775" s="89"/>
    </row>
    <row r="776" ht="14.25" customHeight="1">
      <c r="A776" s="89"/>
      <c r="B776" s="89"/>
      <c r="C776" s="89"/>
      <c r="D776" s="89"/>
      <c r="H776" s="89"/>
      <c r="I776" s="89"/>
      <c r="J776" s="89"/>
      <c r="K776" s="89"/>
      <c r="L776" s="89"/>
    </row>
    <row r="777" ht="14.25" customHeight="1">
      <c r="A777" s="89"/>
      <c r="B777" s="89"/>
      <c r="C777" s="89"/>
      <c r="D777" s="89"/>
      <c r="H777" s="89"/>
      <c r="I777" s="89"/>
      <c r="J777" s="89"/>
      <c r="K777" s="89"/>
      <c r="L777" s="89"/>
    </row>
    <row r="778" ht="14.25" customHeight="1">
      <c r="A778" s="89"/>
      <c r="B778" s="89"/>
      <c r="C778" s="89"/>
      <c r="D778" s="89"/>
      <c r="H778" s="89"/>
      <c r="I778" s="89"/>
      <c r="J778" s="89"/>
      <c r="K778" s="89"/>
      <c r="L778" s="89"/>
    </row>
    <row r="779" ht="14.25" customHeight="1">
      <c r="A779" s="89"/>
      <c r="B779" s="89"/>
      <c r="C779" s="89"/>
      <c r="D779" s="89"/>
      <c r="H779" s="89"/>
      <c r="I779" s="89"/>
      <c r="J779" s="89"/>
      <c r="K779" s="89"/>
      <c r="L779" s="89"/>
    </row>
    <row r="780" ht="14.25" customHeight="1">
      <c r="A780" s="89"/>
      <c r="B780" s="89"/>
      <c r="C780" s="89"/>
      <c r="D780" s="89"/>
      <c r="H780" s="89"/>
      <c r="I780" s="89"/>
      <c r="J780" s="89"/>
      <c r="K780" s="89"/>
      <c r="L780" s="89"/>
    </row>
    <row r="781" ht="14.25" customHeight="1">
      <c r="A781" s="89"/>
      <c r="B781" s="89"/>
      <c r="C781" s="89"/>
      <c r="D781" s="89"/>
      <c r="H781" s="89"/>
      <c r="I781" s="89"/>
      <c r="J781" s="89"/>
      <c r="K781" s="89"/>
      <c r="L781" s="89"/>
    </row>
    <row r="782" ht="14.25" customHeight="1">
      <c r="A782" s="89"/>
      <c r="B782" s="89"/>
      <c r="C782" s="89"/>
      <c r="D782" s="89"/>
      <c r="H782" s="89"/>
      <c r="I782" s="89"/>
      <c r="J782" s="89"/>
      <c r="K782" s="89"/>
      <c r="L782" s="89"/>
    </row>
    <row r="783" ht="14.25" customHeight="1">
      <c r="A783" s="89"/>
      <c r="B783" s="89"/>
      <c r="C783" s="89"/>
      <c r="D783" s="89"/>
      <c r="H783" s="89"/>
      <c r="I783" s="89"/>
      <c r="J783" s="89"/>
      <c r="K783" s="89"/>
      <c r="L783" s="89"/>
    </row>
    <row r="784" ht="14.25" customHeight="1">
      <c r="A784" s="89"/>
      <c r="B784" s="89"/>
      <c r="C784" s="89"/>
      <c r="D784" s="89"/>
      <c r="H784" s="89"/>
      <c r="I784" s="89"/>
      <c r="J784" s="89"/>
      <c r="K784" s="89"/>
      <c r="L784" s="89"/>
    </row>
    <row r="785" ht="14.25" customHeight="1">
      <c r="A785" s="89"/>
      <c r="B785" s="89"/>
      <c r="C785" s="89"/>
      <c r="D785" s="89"/>
      <c r="H785" s="89"/>
      <c r="I785" s="89"/>
      <c r="J785" s="89"/>
      <c r="K785" s="89"/>
      <c r="L785" s="89"/>
    </row>
    <row r="786" ht="14.25" customHeight="1">
      <c r="A786" s="89"/>
      <c r="B786" s="89"/>
      <c r="C786" s="89"/>
      <c r="D786" s="89"/>
      <c r="H786" s="89"/>
      <c r="I786" s="89"/>
      <c r="J786" s="89"/>
      <c r="K786" s="89"/>
      <c r="L786" s="89"/>
    </row>
    <row r="787" ht="14.25" customHeight="1">
      <c r="A787" s="89"/>
      <c r="B787" s="89"/>
      <c r="C787" s="89"/>
      <c r="D787" s="89"/>
      <c r="H787" s="89"/>
      <c r="I787" s="89"/>
      <c r="J787" s="89"/>
      <c r="K787" s="89"/>
      <c r="L787" s="89"/>
    </row>
    <row r="788" ht="14.25" customHeight="1">
      <c r="A788" s="89"/>
      <c r="B788" s="89"/>
      <c r="C788" s="89"/>
      <c r="D788" s="89"/>
      <c r="H788" s="89"/>
      <c r="I788" s="89"/>
      <c r="J788" s="89"/>
      <c r="K788" s="89"/>
      <c r="L788" s="89"/>
    </row>
    <row r="789" ht="14.25" customHeight="1">
      <c r="A789" s="89"/>
      <c r="B789" s="89"/>
      <c r="C789" s="89"/>
      <c r="D789" s="89"/>
      <c r="H789" s="89"/>
      <c r="I789" s="89"/>
      <c r="J789" s="89"/>
      <c r="K789" s="89"/>
      <c r="L789" s="89"/>
    </row>
    <row r="790" ht="14.25" customHeight="1">
      <c r="A790" s="89"/>
      <c r="B790" s="89"/>
      <c r="C790" s="89"/>
      <c r="D790" s="89"/>
      <c r="H790" s="89"/>
      <c r="I790" s="89"/>
      <c r="J790" s="89"/>
      <c r="K790" s="89"/>
      <c r="L790" s="89"/>
    </row>
    <row r="791" ht="14.25" customHeight="1">
      <c r="A791" s="89"/>
      <c r="B791" s="89"/>
      <c r="C791" s="89"/>
      <c r="D791" s="89"/>
      <c r="H791" s="89"/>
      <c r="I791" s="89"/>
      <c r="J791" s="89"/>
      <c r="K791" s="89"/>
      <c r="L791" s="89"/>
    </row>
    <row r="792" ht="14.25" customHeight="1">
      <c r="A792" s="89"/>
      <c r="B792" s="89"/>
      <c r="C792" s="89"/>
      <c r="D792" s="89"/>
      <c r="H792" s="89"/>
      <c r="I792" s="89"/>
      <c r="J792" s="89"/>
      <c r="K792" s="89"/>
      <c r="L792" s="89"/>
    </row>
    <row r="793" ht="14.25" customHeight="1">
      <c r="A793" s="89"/>
      <c r="B793" s="89"/>
      <c r="C793" s="89"/>
      <c r="D793" s="89"/>
      <c r="H793" s="89"/>
      <c r="I793" s="89"/>
      <c r="J793" s="89"/>
      <c r="K793" s="89"/>
      <c r="L793" s="89"/>
    </row>
    <row r="794" ht="14.25" customHeight="1">
      <c r="A794" s="89"/>
      <c r="B794" s="89"/>
      <c r="C794" s="89"/>
      <c r="D794" s="89"/>
      <c r="H794" s="89"/>
      <c r="I794" s="89"/>
      <c r="J794" s="89"/>
      <c r="K794" s="89"/>
      <c r="L794" s="89"/>
    </row>
    <row r="795" ht="14.25" customHeight="1">
      <c r="A795" s="89"/>
      <c r="B795" s="89"/>
      <c r="C795" s="89"/>
      <c r="D795" s="89"/>
      <c r="H795" s="89"/>
      <c r="I795" s="89"/>
      <c r="J795" s="89"/>
      <c r="K795" s="89"/>
      <c r="L795" s="89"/>
    </row>
    <row r="796" ht="14.25" customHeight="1">
      <c r="A796" s="89"/>
      <c r="B796" s="89"/>
      <c r="C796" s="89"/>
      <c r="D796" s="89"/>
      <c r="H796" s="89"/>
      <c r="I796" s="89"/>
      <c r="J796" s="89"/>
      <c r="K796" s="89"/>
      <c r="L796" s="89"/>
    </row>
    <row r="797" ht="14.25" customHeight="1">
      <c r="A797" s="89"/>
      <c r="B797" s="89"/>
      <c r="C797" s="89"/>
      <c r="D797" s="89"/>
      <c r="H797" s="89"/>
      <c r="I797" s="89"/>
      <c r="J797" s="89"/>
      <c r="K797" s="89"/>
      <c r="L797" s="89"/>
    </row>
    <row r="798" ht="14.25" customHeight="1">
      <c r="A798" s="89"/>
      <c r="B798" s="89"/>
      <c r="C798" s="89"/>
      <c r="D798" s="89"/>
      <c r="H798" s="89"/>
      <c r="I798" s="89"/>
      <c r="J798" s="89"/>
      <c r="K798" s="89"/>
      <c r="L798" s="89"/>
    </row>
    <row r="799" ht="14.25" customHeight="1">
      <c r="A799" s="89"/>
      <c r="B799" s="89"/>
      <c r="C799" s="89"/>
      <c r="D799" s="89"/>
      <c r="H799" s="89"/>
      <c r="I799" s="89"/>
      <c r="J799" s="89"/>
      <c r="K799" s="89"/>
      <c r="L799" s="89"/>
    </row>
    <row r="800" ht="14.25" customHeight="1">
      <c r="A800" s="89"/>
      <c r="B800" s="89"/>
      <c r="C800" s="89"/>
      <c r="D800" s="89"/>
      <c r="H800" s="89"/>
      <c r="I800" s="89"/>
      <c r="J800" s="89"/>
      <c r="K800" s="89"/>
      <c r="L800" s="89"/>
    </row>
    <row r="801" ht="14.25" customHeight="1">
      <c r="A801" s="89"/>
      <c r="B801" s="89"/>
      <c r="C801" s="89"/>
      <c r="D801" s="89"/>
      <c r="H801" s="89"/>
      <c r="I801" s="89"/>
      <c r="J801" s="89"/>
      <c r="K801" s="89"/>
      <c r="L801" s="89"/>
    </row>
    <row r="802" ht="14.25" customHeight="1">
      <c r="A802" s="89"/>
      <c r="B802" s="89"/>
      <c r="C802" s="89"/>
      <c r="D802" s="89"/>
      <c r="H802" s="89"/>
      <c r="I802" s="89"/>
      <c r="J802" s="89"/>
      <c r="K802" s="89"/>
      <c r="L802" s="89"/>
    </row>
    <row r="803" ht="14.25" customHeight="1">
      <c r="A803" s="89"/>
      <c r="B803" s="89"/>
      <c r="C803" s="89"/>
      <c r="D803" s="89"/>
      <c r="H803" s="89"/>
      <c r="I803" s="89"/>
      <c r="J803" s="89"/>
      <c r="K803" s="89"/>
      <c r="L803" s="89"/>
    </row>
    <row r="804" ht="14.25" customHeight="1">
      <c r="A804" s="89"/>
      <c r="B804" s="89"/>
      <c r="C804" s="89"/>
      <c r="D804" s="89"/>
      <c r="H804" s="89"/>
      <c r="I804" s="89"/>
      <c r="J804" s="89"/>
      <c r="K804" s="89"/>
      <c r="L804" s="89"/>
    </row>
    <row r="805" ht="14.25" customHeight="1">
      <c r="A805" s="89"/>
      <c r="B805" s="89"/>
      <c r="C805" s="89"/>
      <c r="D805" s="89"/>
      <c r="H805" s="89"/>
      <c r="I805" s="89"/>
      <c r="J805" s="89"/>
      <c r="K805" s="89"/>
      <c r="L805" s="89"/>
    </row>
    <row r="806" ht="14.25" customHeight="1">
      <c r="A806" s="89"/>
      <c r="B806" s="89"/>
      <c r="C806" s="89"/>
      <c r="D806" s="89"/>
      <c r="H806" s="89"/>
      <c r="I806" s="89"/>
      <c r="J806" s="89"/>
      <c r="K806" s="89"/>
      <c r="L806" s="89"/>
    </row>
    <row r="807" ht="14.25" customHeight="1">
      <c r="A807" s="89"/>
      <c r="B807" s="89"/>
      <c r="C807" s="89"/>
      <c r="D807" s="89"/>
      <c r="H807" s="89"/>
      <c r="I807" s="89"/>
      <c r="J807" s="89"/>
      <c r="K807" s="89"/>
      <c r="L807" s="89"/>
    </row>
    <row r="808" ht="14.25" customHeight="1">
      <c r="A808" s="89"/>
      <c r="B808" s="89"/>
      <c r="C808" s="89"/>
      <c r="D808" s="89"/>
      <c r="H808" s="89"/>
      <c r="I808" s="89"/>
      <c r="J808" s="89"/>
      <c r="K808" s="89"/>
      <c r="L808" s="89"/>
    </row>
    <row r="809" ht="14.25" customHeight="1">
      <c r="A809" s="89"/>
      <c r="B809" s="89"/>
      <c r="C809" s="89"/>
      <c r="D809" s="89"/>
      <c r="H809" s="89"/>
      <c r="I809" s="89"/>
      <c r="J809" s="89"/>
      <c r="K809" s="89"/>
      <c r="L809" s="89"/>
    </row>
    <row r="810" ht="14.25" customHeight="1">
      <c r="A810" s="89"/>
      <c r="B810" s="89"/>
      <c r="C810" s="89"/>
      <c r="D810" s="89"/>
      <c r="H810" s="89"/>
      <c r="I810" s="89"/>
      <c r="J810" s="89"/>
      <c r="K810" s="89"/>
      <c r="L810" s="89"/>
    </row>
    <row r="811" ht="14.25" customHeight="1">
      <c r="A811" s="89"/>
      <c r="B811" s="89"/>
      <c r="C811" s="89"/>
      <c r="D811" s="89"/>
      <c r="H811" s="89"/>
      <c r="I811" s="89"/>
      <c r="J811" s="89"/>
      <c r="K811" s="89"/>
      <c r="L811" s="89"/>
    </row>
    <row r="812" ht="14.25" customHeight="1">
      <c r="A812" s="89"/>
      <c r="B812" s="89"/>
      <c r="C812" s="89"/>
      <c r="D812" s="89"/>
      <c r="H812" s="89"/>
      <c r="I812" s="89"/>
      <c r="J812" s="89"/>
      <c r="K812" s="89"/>
      <c r="L812" s="89"/>
    </row>
    <row r="813" ht="14.25" customHeight="1">
      <c r="A813" s="89"/>
      <c r="B813" s="89"/>
      <c r="C813" s="89"/>
      <c r="D813" s="89"/>
      <c r="H813" s="89"/>
      <c r="I813" s="89"/>
      <c r="J813" s="89"/>
      <c r="K813" s="89"/>
      <c r="L813" s="89"/>
    </row>
    <row r="814" ht="14.25" customHeight="1">
      <c r="A814" s="89"/>
      <c r="B814" s="89"/>
      <c r="C814" s="89"/>
      <c r="D814" s="89"/>
      <c r="H814" s="89"/>
      <c r="I814" s="89"/>
      <c r="J814" s="89"/>
      <c r="K814" s="89"/>
      <c r="L814" s="89"/>
    </row>
    <row r="815" ht="14.25" customHeight="1">
      <c r="A815" s="89"/>
      <c r="B815" s="89"/>
      <c r="C815" s="89"/>
      <c r="D815" s="89"/>
      <c r="H815" s="89"/>
      <c r="I815" s="89"/>
      <c r="J815" s="89"/>
      <c r="K815" s="89"/>
      <c r="L815" s="89"/>
    </row>
    <row r="816" ht="14.25" customHeight="1">
      <c r="A816" s="89"/>
      <c r="B816" s="89"/>
      <c r="C816" s="89"/>
      <c r="D816" s="89"/>
      <c r="H816" s="89"/>
      <c r="I816" s="89"/>
      <c r="J816" s="89"/>
      <c r="K816" s="89"/>
      <c r="L816" s="89"/>
    </row>
    <row r="817" ht="14.25" customHeight="1">
      <c r="A817" s="89"/>
      <c r="B817" s="89"/>
      <c r="C817" s="89"/>
      <c r="D817" s="89"/>
      <c r="H817" s="89"/>
      <c r="I817" s="89"/>
      <c r="J817" s="89"/>
      <c r="K817" s="89"/>
      <c r="L817" s="89"/>
    </row>
    <row r="818" ht="14.25" customHeight="1">
      <c r="A818" s="89"/>
      <c r="B818" s="89"/>
      <c r="C818" s="89"/>
      <c r="D818" s="89"/>
      <c r="H818" s="89"/>
      <c r="I818" s="89"/>
      <c r="J818" s="89"/>
      <c r="K818" s="89"/>
      <c r="L818" s="89"/>
    </row>
    <row r="819" ht="14.25" customHeight="1">
      <c r="A819" s="89"/>
      <c r="B819" s="89"/>
      <c r="C819" s="89"/>
      <c r="D819" s="89"/>
      <c r="H819" s="89"/>
      <c r="I819" s="89"/>
      <c r="J819" s="89"/>
      <c r="K819" s="89"/>
      <c r="L819" s="89"/>
    </row>
    <row r="820" ht="14.25" customHeight="1">
      <c r="A820" s="89"/>
      <c r="B820" s="89"/>
      <c r="C820" s="89"/>
      <c r="D820" s="89"/>
      <c r="H820" s="89"/>
      <c r="I820" s="89"/>
      <c r="J820" s="89"/>
      <c r="K820" s="89"/>
      <c r="L820" s="89"/>
    </row>
    <row r="821" ht="14.25" customHeight="1">
      <c r="A821" s="89"/>
      <c r="B821" s="89"/>
      <c r="C821" s="89"/>
      <c r="D821" s="89"/>
      <c r="H821" s="89"/>
      <c r="I821" s="89"/>
      <c r="J821" s="89"/>
      <c r="K821" s="89"/>
      <c r="L821" s="89"/>
    </row>
    <row r="822" ht="14.25" customHeight="1">
      <c r="A822" s="89"/>
      <c r="B822" s="89"/>
      <c r="C822" s="89"/>
      <c r="D822" s="89"/>
      <c r="H822" s="89"/>
      <c r="I822" s="89"/>
      <c r="J822" s="89"/>
      <c r="K822" s="89"/>
      <c r="L822" s="89"/>
    </row>
    <row r="823" ht="14.25" customHeight="1">
      <c r="A823" s="89"/>
      <c r="B823" s="89"/>
      <c r="C823" s="89"/>
      <c r="D823" s="89"/>
      <c r="H823" s="89"/>
      <c r="I823" s="89"/>
      <c r="J823" s="89"/>
      <c r="K823" s="89"/>
      <c r="L823" s="89"/>
    </row>
    <row r="824" ht="14.25" customHeight="1">
      <c r="A824" s="89"/>
      <c r="B824" s="89"/>
      <c r="C824" s="89"/>
      <c r="D824" s="89"/>
      <c r="H824" s="89"/>
      <c r="I824" s="89"/>
      <c r="J824" s="89"/>
      <c r="K824" s="89"/>
      <c r="L824" s="89"/>
    </row>
    <row r="825" ht="14.25" customHeight="1">
      <c r="A825" s="89"/>
      <c r="B825" s="89"/>
      <c r="C825" s="89"/>
      <c r="D825" s="89"/>
      <c r="H825" s="89"/>
      <c r="I825" s="89"/>
      <c r="J825" s="89"/>
      <c r="K825" s="89"/>
      <c r="L825" s="89"/>
    </row>
    <row r="826" ht="14.25" customHeight="1">
      <c r="A826" s="89"/>
      <c r="B826" s="89"/>
      <c r="C826" s="89"/>
      <c r="D826" s="89"/>
      <c r="H826" s="89"/>
      <c r="I826" s="89"/>
      <c r="J826" s="89"/>
      <c r="K826" s="89"/>
      <c r="L826" s="89"/>
    </row>
    <row r="827" ht="14.25" customHeight="1">
      <c r="A827" s="89"/>
      <c r="B827" s="89"/>
      <c r="C827" s="89"/>
      <c r="D827" s="89"/>
      <c r="H827" s="89"/>
      <c r="I827" s="89"/>
      <c r="J827" s="89"/>
      <c r="K827" s="89"/>
      <c r="L827" s="89"/>
    </row>
    <row r="828" ht="14.25" customHeight="1">
      <c r="A828" s="89"/>
      <c r="B828" s="89"/>
      <c r="C828" s="89"/>
      <c r="D828" s="89"/>
      <c r="H828" s="89"/>
      <c r="I828" s="89"/>
      <c r="J828" s="89"/>
      <c r="K828" s="89"/>
      <c r="L828" s="89"/>
    </row>
    <row r="829" ht="14.25" customHeight="1">
      <c r="A829" s="89"/>
      <c r="B829" s="89"/>
      <c r="C829" s="89"/>
      <c r="D829" s="89"/>
      <c r="H829" s="89"/>
      <c r="I829" s="89"/>
      <c r="J829" s="89"/>
      <c r="K829" s="89"/>
      <c r="L829" s="89"/>
    </row>
    <row r="830" ht="14.25" customHeight="1">
      <c r="A830" s="89"/>
      <c r="B830" s="89"/>
      <c r="C830" s="89"/>
      <c r="D830" s="89"/>
      <c r="H830" s="89"/>
      <c r="I830" s="89"/>
      <c r="J830" s="89"/>
      <c r="K830" s="89"/>
      <c r="L830" s="89"/>
    </row>
    <row r="831" ht="14.25" customHeight="1">
      <c r="A831" s="89"/>
      <c r="B831" s="89"/>
      <c r="C831" s="89"/>
      <c r="D831" s="89"/>
      <c r="H831" s="89"/>
      <c r="I831" s="89"/>
      <c r="J831" s="89"/>
      <c r="K831" s="89"/>
      <c r="L831" s="89"/>
    </row>
    <row r="832" ht="14.25" customHeight="1">
      <c r="A832" s="89"/>
      <c r="B832" s="89"/>
      <c r="C832" s="89"/>
      <c r="D832" s="89"/>
      <c r="H832" s="89"/>
      <c r="I832" s="89"/>
      <c r="J832" s="89"/>
      <c r="K832" s="89"/>
      <c r="L832" s="89"/>
    </row>
    <row r="833" ht="14.25" customHeight="1">
      <c r="A833" s="89"/>
      <c r="B833" s="89"/>
      <c r="C833" s="89"/>
      <c r="D833" s="89"/>
      <c r="H833" s="89"/>
      <c r="I833" s="89"/>
      <c r="J833" s="89"/>
      <c r="K833" s="89"/>
      <c r="L833" s="89"/>
    </row>
    <row r="834" ht="14.25" customHeight="1">
      <c r="A834" s="89"/>
      <c r="B834" s="89"/>
      <c r="C834" s="89"/>
      <c r="D834" s="89"/>
      <c r="H834" s="89"/>
      <c r="I834" s="89"/>
      <c r="J834" s="89"/>
      <c r="K834" s="89"/>
      <c r="L834" s="89"/>
    </row>
    <row r="835" ht="14.25" customHeight="1">
      <c r="A835" s="89"/>
      <c r="B835" s="89"/>
      <c r="C835" s="89"/>
      <c r="D835" s="89"/>
      <c r="H835" s="89"/>
      <c r="I835" s="89"/>
      <c r="J835" s="89"/>
      <c r="K835" s="89"/>
      <c r="L835" s="89"/>
    </row>
    <row r="836" ht="14.25" customHeight="1">
      <c r="A836" s="89"/>
      <c r="B836" s="89"/>
      <c r="C836" s="89"/>
      <c r="D836" s="89"/>
      <c r="H836" s="89"/>
      <c r="I836" s="89"/>
      <c r="J836" s="89"/>
      <c r="K836" s="89"/>
      <c r="L836" s="89"/>
    </row>
    <row r="837" ht="14.25" customHeight="1">
      <c r="A837" s="89"/>
      <c r="B837" s="89"/>
      <c r="C837" s="89"/>
      <c r="D837" s="89"/>
      <c r="H837" s="89"/>
      <c r="I837" s="89"/>
      <c r="J837" s="89"/>
      <c r="K837" s="89"/>
      <c r="L837" s="89"/>
    </row>
    <row r="838" ht="14.25" customHeight="1">
      <c r="A838" s="89"/>
      <c r="B838" s="89"/>
      <c r="C838" s="89"/>
      <c r="D838" s="89"/>
      <c r="H838" s="89"/>
      <c r="I838" s="89"/>
      <c r="J838" s="89"/>
      <c r="K838" s="89"/>
      <c r="L838" s="89"/>
    </row>
    <row r="839" ht="14.25" customHeight="1">
      <c r="A839" s="89"/>
      <c r="B839" s="89"/>
      <c r="C839" s="89"/>
      <c r="D839" s="89"/>
      <c r="H839" s="89"/>
      <c r="I839" s="89"/>
      <c r="J839" s="89"/>
      <c r="K839" s="89"/>
      <c r="L839" s="89"/>
    </row>
    <row r="840" ht="14.25" customHeight="1">
      <c r="A840" s="89"/>
      <c r="B840" s="89"/>
      <c r="C840" s="89"/>
      <c r="D840" s="89"/>
      <c r="H840" s="89"/>
      <c r="I840" s="89"/>
      <c r="J840" s="89"/>
      <c r="K840" s="89"/>
      <c r="L840" s="89"/>
    </row>
    <row r="841" ht="14.25" customHeight="1">
      <c r="A841" s="89"/>
      <c r="B841" s="89"/>
      <c r="C841" s="89"/>
      <c r="D841" s="89"/>
      <c r="H841" s="89"/>
      <c r="I841" s="89"/>
      <c r="J841" s="89"/>
      <c r="K841" s="89"/>
      <c r="L841" s="89"/>
    </row>
    <row r="842" ht="14.25" customHeight="1">
      <c r="A842" s="89"/>
      <c r="B842" s="89"/>
      <c r="C842" s="89"/>
      <c r="D842" s="89"/>
      <c r="H842" s="89"/>
      <c r="I842" s="89"/>
      <c r="J842" s="89"/>
      <c r="K842" s="89"/>
      <c r="L842" s="89"/>
    </row>
    <row r="843" ht="14.25" customHeight="1">
      <c r="A843" s="89"/>
      <c r="B843" s="89"/>
      <c r="C843" s="89"/>
      <c r="D843" s="89"/>
      <c r="H843" s="89"/>
      <c r="I843" s="89"/>
      <c r="J843" s="89"/>
      <c r="K843" s="89"/>
      <c r="L843" s="89"/>
    </row>
    <row r="844" ht="14.25" customHeight="1">
      <c r="A844" s="89"/>
      <c r="B844" s="89"/>
      <c r="C844" s="89"/>
      <c r="D844" s="89"/>
      <c r="H844" s="89"/>
      <c r="I844" s="89"/>
      <c r="J844" s="89"/>
      <c r="K844" s="89"/>
      <c r="L844" s="89"/>
    </row>
    <row r="845" ht="14.25" customHeight="1">
      <c r="A845" s="89"/>
      <c r="B845" s="89"/>
      <c r="C845" s="89"/>
      <c r="D845" s="89"/>
      <c r="H845" s="89"/>
      <c r="I845" s="89"/>
      <c r="J845" s="89"/>
      <c r="K845" s="89"/>
      <c r="L845" s="89"/>
    </row>
    <row r="846" ht="14.25" customHeight="1">
      <c r="A846" s="89"/>
      <c r="B846" s="89"/>
      <c r="C846" s="89"/>
      <c r="D846" s="89"/>
      <c r="H846" s="89"/>
      <c r="I846" s="89"/>
      <c r="J846" s="89"/>
      <c r="K846" s="89"/>
      <c r="L846" s="89"/>
    </row>
    <row r="847" ht="14.25" customHeight="1">
      <c r="A847" s="89"/>
      <c r="B847" s="89"/>
      <c r="C847" s="89"/>
      <c r="D847" s="89"/>
      <c r="H847" s="89"/>
      <c r="I847" s="89"/>
      <c r="J847" s="89"/>
      <c r="K847" s="89"/>
      <c r="L847" s="89"/>
    </row>
    <row r="848" ht="14.25" customHeight="1">
      <c r="A848" s="89"/>
      <c r="B848" s="89"/>
      <c r="C848" s="89"/>
      <c r="D848" s="89"/>
      <c r="H848" s="89"/>
      <c r="I848" s="89"/>
      <c r="J848" s="89"/>
      <c r="K848" s="89"/>
      <c r="L848" s="89"/>
    </row>
    <row r="849" ht="14.25" customHeight="1">
      <c r="A849" s="89"/>
      <c r="B849" s="89"/>
      <c r="C849" s="89"/>
      <c r="D849" s="89"/>
      <c r="H849" s="89"/>
      <c r="I849" s="89"/>
      <c r="J849" s="89"/>
      <c r="K849" s="89"/>
      <c r="L849" s="89"/>
    </row>
    <row r="850" ht="14.25" customHeight="1">
      <c r="A850" s="89"/>
      <c r="B850" s="89"/>
      <c r="C850" s="89"/>
      <c r="D850" s="89"/>
      <c r="H850" s="89"/>
      <c r="I850" s="89"/>
      <c r="J850" s="89"/>
      <c r="K850" s="89"/>
      <c r="L850" s="89"/>
    </row>
    <row r="851" ht="14.25" customHeight="1">
      <c r="A851" s="89"/>
      <c r="B851" s="89"/>
      <c r="C851" s="89"/>
      <c r="D851" s="89"/>
      <c r="H851" s="89"/>
      <c r="I851" s="89"/>
      <c r="J851" s="89"/>
      <c r="K851" s="89"/>
      <c r="L851" s="89"/>
    </row>
    <row r="852" ht="14.25" customHeight="1">
      <c r="A852" s="89"/>
      <c r="B852" s="89"/>
      <c r="C852" s="89"/>
      <c r="D852" s="89"/>
      <c r="H852" s="89"/>
      <c r="I852" s="89"/>
      <c r="J852" s="89"/>
      <c r="K852" s="89"/>
      <c r="L852" s="89"/>
    </row>
    <row r="853" ht="14.25" customHeight="1">
      <c r="A853" s="89"/>
      <c r="B853" s="89"/>
      <c r="C853" s="89"/>
      <c r="D853" s="89"/>
      <c r="H853" s="89"/>
      <c r="I853" s="89"/>
      <c r="J853" s="89"/>
      <c r="K853" s="89"/>
      <c r="L853" s="89"/>
    </row>
    <row r="854" ht="14.25" customHeight="1">
      <c r="A854" s="89"/>
      <c r="B854" s="89"/>
      <c r="C854" s="89"/>
      <c r="D854" s="89"/>
      <c r="H854" s="89"/>
      <c r="I854" s="89"/>
      <c r="J854" s="89"/>
      <c r="K854" s="89"/>
      <c r="L854" s="89"/>
    </row>
    <row r="855" ht="14.25" customHeight="1">
      <c r="A855" s="89"/>
      <c r="B855" s="89"/>
      <c r="C855" s="89"/>
      <c r="D855" s="89"/>
      <c r="H855" s="89"/>
      <c r="I855" s="89"/>
      <c r="J855" s="89"/>
      <c r="K855" s="89"/>
      <c r="L855" s="89"/>
    </row>
    <row r="856" ht="14.25" customHeight="1">
      <c r="A856" s="89"/>
      <c r="B856" s="89"/>
      <c r="C856" s="89"/>
      <c r="D856" s="89"/>
      <c r="H856" s="89"/>
      <c r="I856" s="89"/>
      <c r="J856" s="89"/>
      <c r="K856" s="89"/>
      <c r="L856" s="89"/>
    </row>
    <row r="857" ht="14.25" customHeight="1">
      <c r="A857" s="89"/>
      <c r="B857" s="89"/>
      <c r="C857" s="89"/>
      <c r="D857" s="89"/>
      <c r="H857" s="89"/>
      <c r="I857" s="89"/>
      <c r="J857" s="89"/>
      <c r="K857" s="89"/>
      <c r="L857" s="89"/>
    </row>
    <row r="858" ht="14.25" customHeight="1">
      <c r="A858" s="89"/>
      <c r="B858" s="89"/>
      <c r="C858" s="89"/>
      <c r="D858" s="89"/>
      <c r="H858" s="89"/>
      <c r="I858" s="89"/>
      <c r="J858" s="89"/>
      <c r="K858" s="89"/>
      <c r="L858" s="89"/>
    </row>
    <row r="859" ht="14.25" customHeight="1">
      <c r="A859" s="89"/>
      <c r="B859" s="89"/>
      <c r="C859" s="89"/>
      <c r="D859" s="89"/>
      <c r="H859" s="89"/>
      <c r="I859" s="89"/>
      <c r="J859" s="89"/>
      <c r="K859" s="89"/>
      <c r="L859" s="89"/>
    </row>
    <row r="860" ht="14.25" customHeight="1">
      <c r="A860" s="89"/>
      <c r="B860" s="89"/>
      <c r="C860" s="89"/>
      <c r="D860" s="89"/>
      <c r="H860" s="89"/>
      <c r="I860" s="89"/>
      <c r="J860" s="89"/>
      <c r="K860" s="89"/>
      <c r="L860" s="89"/>
    </row>
    <row r="861" ht="14.25" customHeight="1">
      <c r="A861" s="89"/>
      <c r="B861" s="89"/>
      <c r="C861" s="89"/>
      <c r="D861" s="89"/>
      <c r="H861" s="89"/>
      <c r="I861" s="89"/>
      <c r="J861" s="89"/>
      <c r="K861" s="89"/>
      <c r="L861" s="89"/>
    </row>
    <row r="862" ht="14.25" customHeight="1">
      <c r="A862" s="89"/>
      <c r="B862" s="89"/>
      <c r="C862" s="89"/>
      <c r="D862" s="89"/>
      <c r="H862" s="89"/>
      <c r="I862" s="89"/>
      <c r="J862" s="89"/>
      <c r="K862" s="89"/>
      <c r="L862" s="89"/>
    </row>
    <row r="863" ht="14.25" customHeight="1">
      <c r="A863" s="89"/>
      <c r="B863" s="89"/>
      <c r="C863" s="89"/>
      <c r="D863" s="89"/>
      <c r="H863" s="89"/>
      <c r="I863" s="89"/>
      <c r="J863" s="89"/>
      <c r="K863" s="89"/>
      <c r="L863" s="89"/>
    </row>
    <row r="864" ht="14.25" customHeight="1">
      <c r="A864" s="89"/>
      <c r="B864" s="89"/>
      <c r="C864" s="89"/>
      <c r="D864" s="89"/>
      <c r="H864" s="89"/>
      <c r="I864" s="89"/>
      <c r="J864" s="89"/>
      <c r="K864" s="89"/>
      <c r="L864" s="89"/>
    </row>
    <row r="865" ht="14.25" customHeight="1">
      <c r="A865" s="89"/>
      <c r="B865" s="89"/>
      <c r="C865" s="89"/>
      <c r="D865" s="89"/>
      <c r="H865" s="89"/>
      <c r="I865" s="89"/>
      <c r="J865" s="89"/>
      <c r="K865" s="89"/>
      <c r="L865" s="89"/>
    </row>
    <row r="866" ht="14.25" customHeight="1">
      <c r="A866" s="89"/>
      <c r="B866" s="89"/>
      <c r="C866" s="89"/>
      <c r="D866" s="89"/>
      <c r="H866" s="89"/>
      <c r="I866" s="89"/>
      <c r="J866" s="89"/>
      <c r="K866" s="89"/>
      <c r="L866" s="89"/>
    </row>
    <row r="867" ht="14.25" customHeight="1">
      <c r="A867" s="89"/>
      <c r="B867" s="89"/>
      <c r="C867" s="89"/>
      <c r="D867" s="89"/>
      <c r="H867" s="89"/>
      <c r="I867" s="89"/>
      <c r="J867" s="89"/>
      <c r="K867" s="89"/>
      <c r="L867" s="89"/>
    </row>
    <row r="868" ht="14.25" customHeight="1">
      <c r="A868" s="89"/>
      <c r="B868" s="89"/>
      <c r="C868" s="89"/>
      <c r="D868" s="89"/>
      <c r="H868" s="89"/>
      <c r="I868" s="89"/>
      <c r="J868" s="89"/>
      <c r="K868" s="89"/>
      <c r="L868" s="89"/>
    </row>
    <row r="869" ht="14.25" customHeight="1">
      <c r="A869" s="89"/>
      <c r="B869" s="89"/>
      <c r="C869" s="89"/>
      <c r="D869" s="89"/>
      <c r="H869" s="89"/>
      <c r="I869" s="89"/>
      <c r="J869" s="89"/>
      <c r="K869" s="89"/>
      <c r="L869" s="89"/>
    </row>
    <row r="870" ht="14.25" customHeight="1">
      <c r="A870" s="89"/>
      <c r="B870" s="89"/>
      <c r="C870" s="89"/>
      <c r="D870" s="89"/>
      <c r="H870" s="89"/>
      <c r="I870" s="89"/>
      <c r="J870" s="89"/>
      <c r="K870" s="89"/>
      <c r="L870" s="89"/>
    </row>
    <row r="871" ht="14.25" customHeight="1">
      <c r="A871" s="89"/>
      <c r="B871" s="89"/>
      <c r="C871" s="89"/>
      <c r="D871" s="89"/>
      <c r="H871" s="89"/>
      <c r="I871" s="89"/>
      <c r="J871" s="89"/>
      <c r="K871" s="89"/>
      <c r="L871" s="89"/>
    </row>
    <row r="872" ht="14.25" customHeight="1">
      <c r="A872" s="89"/>
      <c r="B872" s="89"/>
      <c r="C872" s="89"/>
      <c r="D872" s="89"/>
      <c r="H872" s="89"/>
      <c r="I872" s="89"/>
      <c r="J872" s="89"/>
      <c r="K872" s="89"/>
      <c r="L872" s="89"/>
    </row>
    <row r="873" ht="14.25" customHeight="1">
      <c r="A873" s="89"/>
      <c r="B873" s="89"/>
      <c r="C873" s="89"/>
      <c r="D873" s="89"/>
      <c r="H873" s="89"/>
      <c r="I873" s="89"/>
      <c r="J873" s="89"/>
      <c r="K873" s="89"/>
      <c r="L873" s="89"/>
    </row>
    <row r="874" ht="14.25" customHeight="1">
      <c r="A874" s="89"/>
      <c r="B874" s="89"/>
      <c r="C874" s="89"/>
      <c r="D874" s="89"/>
      <c r="H874" s="89"/>
      <c r="I874" s="89"/>
      <c r="J874" s="89"/>
      <c r="K874" s="89"/>
      <c r="L874" s="89"/>
    </row>
    <row r="875" ht="14.25" customHeight="1">
      <c r="A875" s="89"/>
      <c r="B875" s="89"/>
      <c r="C875" s="89"/>
      <c r="D875" s="89"/>
      <c r="H875" s="89"/>
      <c r="I875" s="89"/>
      <c r="J875" s="89"/>
      <c r="K875" s="89"/>
      <c r="L875" s="89"/>
    </row>
    <row r="876" ht="14.25" customHeight="1">
      <c r="A876" s="89"/>
      <c r="B876" s="89"/>
      <c r="C876" s="89"/>
      <c r="D876" s="89"/>
      <c r="H876" s="89"/>
      <c r="I876" s="89"/>
      <c r="J876" s="89"/>
      <c r="K876" s="89"/>
      <c r="L876" s="89"/>
    </row>
    <row r="877" ht="14.25" customHeight="1">
      <c r="A877" s="89"/>
      <c r="B877" s="89"/>
      <c r="C877" s="89"/>
      <c r="D877" s="89"/>
      <c r="H877" s="89"/>
      <c r="I877" s="89"/>
      <c r="J877" s="89"/>
      <c r="K877" s="89"/>
      <c r="L877" s="89"/>
    </row>
    <row r="878" ht="14.25" customHeight="1">
      <c r="A878" s="89"/>
      <c r="B878" s="89"/>
      <c r="C878" s="89"/>
      <c r="D878" s="89"/>
      <c r="H878" s="89"/>
      <c r="I878" s="89"/>
      <c r="J878" s="89"/>
      <c r="K878" s="89"/>
      <c r="L878" s="89"/>
    </row>
    <row r="879" ht="14.25" customHeight="1">
      <c r="A879" s="89"/>
      <c r="B879" s="89"/>
      <c r="C879" s="89"/>
      <c r="D879" s="89"/>
      <c r="H879" s="89"/>
      <c r="I879" s="89"/>
      <c r="J879" s="89"/>
      <c r="K879" s="89"/>
      <c r="L879" s="89"/>
    </row>
    <row r="880" ht="14.25" customHeight="1">
      <c r="A880" s="89"/>
      <c r="B880" s="89"/>
      <c r="C880" s="89"/>
      <c r="D880" s="89"/>
      <c r="H880" s="89"/>
      <c r="I880" s="89"/>
      <c r="J880" s="89"/>
      <c r="K880" s="89"/>
      <c r="L880" s="89"/>
    </row>
    <row r="881" ht="14.25" customHeight="1">
      <c r="A881" s="89"/>
      <c r="B881" s="89"/>
      <c r="C881" s="89"/>
      <c r="D881" s="89"/>
      <c r="H881" s="89"/>
      <c r="I881" s="89"/>
      <c r="J881" s="89"/>
      <c r="K881" s="89"/>
      <c r="L881" s="89"/>
    </row>
    <row r="882" ht="14.25" customHeight="1">
      <c r="A882" s="89"/>
      <c r="B882" s="89"/>
      <c r="C882" s="89"/>
      <c r="D882" s="89"/>
      <c r="H882" s="89"/>
      <c r="I882" s="89"/>
      <c r="J882" s="89"/>
      <c r="K882" s="89"/>
      <c r="L882" s="89"/>
    </row>
    <row r="883" ht="14.25" customHeight="1">
      <c r="A883" s="89"/>
      <c r="B883" s="89"/>
      <c r="C883" s="89"/>
      <c r="D883" s="89"/>
      <c r="H883" s="89"/>
      <c r="I883" s="89"/>
      <c r="J883" s="89"/>
      <c r="K883" s="89"/>
      <c r="L883" s="89"/>
    </row>
    <row r="884" ht="14.25" customHeight="1">
      <c r="A884" s="89"/>
      <c r="B884" s="89"/>
      <c r="C884" s="89"/>
      <c r="D884" s="89"/>
      <c r="H884" s="89"/>
      <c r="I884" s="89"/>
      <c r="J884" s="89"/>
      <c r="K884" s="89"/>
      <c r="L884" s="89"/>
    </row>
    <row r="885" ht="14.25" customHeight="1">
      <c r="A885" s="89"/>
      <c r="B885" s="89"/>
      <c r="C885" s="89"/>
      <c r="D885" s="89"/>
      <c r="H885" s="89"/>
      <c r="I885" s="89"/>
      <c r="J885" s="89"/>
      <c r="K885" s="89"/>
      <c r="L885" s="89"/>
    </row>
    <row r="886" ht="14.25" customHeight="1">
      <c r="A886" s="89"/>
      <c r="B886" s="89"/>
      <c r="C886" s="89"/>
      <c r="D886" s="89"/>
      <c r="H886" s="89"/>
      <c r="I886" s="89"/>
      <c r="J886" s="89"/>
      <c r="K886" s="89"/>
      <c r="L886" s="89"/>
    </row>
    <row r="887" ht="14.25" customHeight="1">
      <c r="A887" s="89"/>
      <c r="B887" s="89"/>
      <c r="C887" s="89"/>
      <c r="D887" s="89"/>
      <c r="H887" s="89"/>
      <c r="I887" s="89"/>
      <c r="J887" s="89"/>
      <c r="K887" s="89"/>
      <c r="L887" s="89"/>
    </row>
    <row r="888" ht="14.25" customHeight="1">
      <c r="A888" s="89"/>
      <c r="B888" s="89"/>
      <c r="C888" s="89"/>
      <c r="D888" s="89"/>
      <c r="H888" s="89"/>
      <c r="I888" s="89"/>
      <c r="J888" s="89"/>
      <c r="K888" s="89"/>
      <c r="L888" s="89"/>
    </row>
    <row r="889" ht="14.25" customHeight="1">
      <c r="A889" s="89"/>
      <c r="B889" s="89"/>
      <c r="C889" s="89"/>
      <c r="D889" s="89"/>
      <c r="H889" s="89"/>
      <c r="I889" s="89"/>
      <c r="J889" s="89"/>
      <c r="K889" s="89"/>
      <c r="L889" s="89"/>
    </row>
    <row r="890" ht="14.25" customHeight="1">
      <c r="A890" s="89"/>
      <c r="B890" s="89"/>
      <c r="C890" s="89"/>
      <c r="D890" s="89"/>
      <c r="H890" s="89"/>
      <c r="I890" s="89"/>
      <c r="J890" s="89"/>
      <c r="K890" s="89"/>
      <c r="L890" s="89"/>
    </row>
    <row r="891" ht="14.25" customHeight="1">
      <c r="A891" s="89"/>
      <c r="B891" s="89"/>
      <c r="C891" s="89"/>
      <c r="D891" s="89"/>
      <c r="H891" s="89"/>
      <c r="I891" s="89"/>
      <c r="J891" s="89"/>
      <c r="K891" s="89"/>
      <c r="L891" s="89"/>
    </row>
    <row r="892" ht="14.25" customHeight="1">
      <c r="A892" s="89"/>
      <c r="B892" s="89"/>
      <c r="C892" s="89"/>
      <c r="D892" s="89"/>
      <c r="H892" s="89"/>
      <c r="I892" s="89"/>
      <c r="J892" s="89"/>
      <c r="K892" s="89"/>
      <c r="L892" s="89"/>
    </row>
    <row r="893" ht="14.25" customHeight="1">
      <c r="A893" s="89"/>
      <c r="B893" s="89"/>
      <c r="C893" s="89"/>
      <c r="D893" s="89"/>
      <c r="H893" s="89"/>
      <c r="I893" s="89"/>
      <c r="J893" s="89"/>
      <c r="K893" s="89"/>
      <c r="L893" s="89"/>
    </row>
    <row r="894" ht="14.25" customHeight="1">
      <c r="A894" s="89"/>
      <c r="B894" s="89"/>
      <c r="C894" s="89"/>
      <c r="D894" s="89"/>
      <c r="H894" s="89"/>
      <c r="I894" s="89"/>
      <c r="J894" s="89"/>
      <c r="K894" s="89"/>
      <c r="L894" s="89"/>
    </row>
    <row r="895" ht="14.25" customHeight="1">
      <c r="A895" s="89"/>
      <c r="B895" s="89"/>
      <c r="C895" s="89"/>
      <c r="D895" s="89"/>
      <c r="H895" s="89"/>
      <c r="I895" s="89"/>
      <c r="J895" s="89"/>
      <c r="K895" s="89"/>
      <c r="L895" s="89"/>
    </row>
    <row r="896" ht="14.25" customHeight="1">
      <c r="A896" s="89"/>
      <c r="B896" s="89"/>
      <c r="C896" s="89"/>
      <c r="D896" s="89"/>
      <c r="H896" s="89"/>
      <c r="I896" s="89"/>
      <c r="J896" s="89"/>
      <c r="K896" s="89"/>
      <c r="L896" s="89"/>
    </row>
    <row r="897" ht="14.25" customHeight="1">
      <c r="A897" s="89"/>
      <c r="B897" s="89"/>
      <c r="C897" s="89"/>
      <c r="D897" s="89"/>
      <c r="H897" s="89"/>
      <c r="I897" s="89"/>
      <c r="J897" s="89"/>
      <c r="K897" s="89"/>
      <c r="L897" s="89"/>
    </row>
    <row r="898" ht="14.25" customHeight="1">
      <c r="A898" s="89"/>
      <c r="B898" s="89"/>
      <c r="C898" s="89"/>
      <c r="D898" s="89"/>
      <c r="H898" s="89"/>
      <c r="I898" s="89"/>
      <c r="J898" s="89"/>
      <c r="K898" s="89"/>
      <c r="L898" s="89"/>
    </row>
    <row r="899" ht="14.25" customHeight="1">
      <c r="A899" s="89"/>
      <c r="B899" s="89"/>
      <c r="C899" s="89"/>
      <c r="D899" s="89"/>
      <c r="H899" s="89"/>
      <c r="I899" s="89"/>
      <c r="J899" s="89"/>
      <c r="K899" s="89"/>
      <c r="L899" s="89"/>
    </row>
    <row r="900" ht="14.25" customHeight="1">
      <c r="A900" s="89"/>
      <c r="B900" s="89"/>
      <c r="C900" s="89"/>
      <c r="D900" s="89"/>
      <c r="H900" s="89"/>
      <c r="I900" s="89"/>
      <c r="J900" s="89"/>
      <c r="K900" s="89"/>
      <c r="L900" s="89"/>
    </row>
    <row r="901" ht="14.25" customHeight="1">
      <c r="A901" s="89"/>
      <c r="B901" s="89"/>
      <c r="C901" s="89"/>
      <c r="D901" s="89"/>
      <c r="H901" s="89"/>
      <c r="I901" s="89"/>
      <c r="J901" s="89"/>
      <c r="K901" s="89"/>
      <c r="L901" s="89"/>
    </row>
    <row r="902" ht="14.25" customHeight="1">
      <c r="A902" s="89"/>
      <c r="B902" s="89"/>
      <c r="C902" s="89"/>
      <c r="D902" s="89"/>
      <c r="H902" s="89"/>
      <c r="I902" s="89"/>
      <c r="J902" s="89"/>
      <c r="K902" s="89"/>
      <c r="L902" s="89"/>
    </row>
    <row r="903" ht="14.25" customHeight="1">
      <c r="A903" s="89"/>
      <c r="B903" s="89"/>
      <c r="C903" s="89"/>
      <c r="D903" s="89"/>
      <c r="H903" s="89"/>
      <c r="I903" s="89"/>
      <c r="J903" s="89"/>
      <c r="K903" s="89"/>
      <c r="L903" s="89"/>
    </row>
    <row r="904" ht="14.25" customHeight="1">
      <c r="A904" s="89"/>
      <c r="B904" s="89"/>
      <c r="C904" s="89"/>
      <c r="D904" s="89"/>
      <c r="H904" s="89"/>
      <c r="I904" s="89"/>
      <c r="J904" s="89"/>
      <c r="K904" s="89"/>
      <c r="L904" s="89"/>
    </row>
    <row r="905" ht="14.25" customHeight="1">
      <c r="A905" s="89"/>
      <c r="B905" s="89"/>
      <c r="C905" s="89"/>
      <c r="D905" s="89"/>
      <c r="H905" s="89"/>
      <c r="I905" s="89"/>
      <c r="J905" s="89"/>
      <c r="K905" s="89"/>
      <c r="L905" s="89"/>
    </row>
    <row r="906" ht="14.25" customHeight="1">
      <c r="A906" s="89"/>
      <c r="B906" s="89"/>
      <c r="C906" s="89"/>
      <c r="D906" s="89"/>
      <c r="H906" s="89"/>
      <c r="I906" s="89"/>
      <c r="J906" s="89"/>
      <c r="K906" s="89"/>
      <c r="L906" s="89"/>
    </row>
    <row r="907" ht="14.25" customHeight="1">
      <c r="A907" s="89"/>
      <c r="B907" s="89"/>
      <c r="C907" s="89"/>
      <c r="D907" s="89"/>
      <c r="H907" s="89"/>
      <c r="I907" s="89"/>
      <c r="J907" s="89"/>
      <c r="K907" s="89"/>
      <c r="L907" s="89"/>
    </row>
    <row r="908" ht="14.25" customHeight="1">
      <c r="A908" s="89"/>
      <c r="B908" s="89"/>
      <c r="C908" s="89"/>
      <c r="D908" s="89"/>
      <c r="H908" s="89"/>
      <c r="I908" s="89"/>
      <c r="J908" s="89"/>
      <c r="K908" s="89"/>
      <c r="L908" s="89"/>
    </row>
    <row r="909" ht="14.25" customHeight="1">
      <c r="A909" s="89"/>
      <c r="B909" s="89"/>
      <c r="C909" s="89"/>
      <c r="D909" s="89"/>
      <c r="H909" s="89"/>
      <c r="I909" s="89"/>
      <c r="J909" s="89"/>
      <c r="K909" s="89"/>
      <c r="L909" s="89"/>
    </row>
    <row r="910" ht="14.25" customHeight="1">
      <c r="A910" s="89"/>
      <c r="B910" s="89"/>
      <c r="C910" s="89"/>
      <c r="D910" s="89"/>
      <c r="H910" s="89"/>
      <c r="I910" s="89"/>
      <c r="J910" s="89"/>
      <c r="K910" s="89"/>
      <c r="L910" s="89"/>
    </row>
    <row r="911" ht="14.25" customHeight="1">
      <c r="A911" s="89"/>
      <c r="B911" s="89"/>
      <c r="C911" s="89"/>
      <c r="D911" s="89"/>
      <c r="H911" s="89"/>
      <c r="I911" s="89"/>
      <c r="J911" s="89"/>
      <c r="K911" s="89"/>
      <c r="L911" s="89"/>
    </row>
    <row r="912" ht="14.25" customHeight="1">
      <c r="A912" s="89"/>
      <c r="B912" s="89"/>
      <c r="C912" s="89"/>
      <c r="D912" s="89"/>
      <c r="H912" s="89"/>
      <c r="I912" s="89"/>
      <c r="J912" s="89"/>
      <c r="K912" s="89"/>
      <c r="L912" s="89"/>
    </row>
    <row r="913" ht="14.25" customHeight="1">
      <c r="A913" s="89"/>
      <c r="B913" s="89"/>
      <c r="C913" s="89"/>
      <c r="D913" s="89"/>
      <c r="H913" s="89"/>
      <c r="I913" s="89"/>
      <c r="J913" s="89"/>
      <c r="K913" s="89"/>
      <c r="L913" s="89"/>
    </row>
    <row r="914" ht="14.25" customHeight="1">
      <c r="A914" s="89"/>
      <c r="B914" s="89"/>
      <c r="C914" s="89"/>
      <c r="D914" s="89"/>
      <c r="H914" s="89"/>
      <c r="I914" s="89"/>
      <c r="J914" s="89"/>
      <c r="K914" s="89"/>
      <c r="L914" s="89"/>
    </row>
    <row r="915" ht="14.25" customHeight="1">
      <c r="A915" s="89"/>
      <c r="B915" s="89"/>
      <c r="C915" s="89"/>
      <c r="D915" s="89"/>
      <c r="H915" s="89"/>
      <c r="I915" s="89"/>
      <c r="J915" s="89"/>
      <c r="K915" s="89"/>
      <c r="L915" s="89"/>
    </row>
    <row r="916" ht="14.25" customHeight="1">
      <c r="A916" s="89"/>
      <c r="B916" s="89"/>
      <c r="C916" s="89"/>
      <c r="D916" s="89"/>
      <c r="H916" s="89"/>
      <c r="I916" s="89"/>
      <c r="J916" s="89"/>
      <c r="K916" s="89"/>
      <c r="L916" s="89"/>
    </row>
    <row r="917" ht="14.25" customHeight="1">
      <c r="A917" s="89"/>
      <c r="B917" s="89"/>
      <c r="C917" s="89"/>
      <c r="D917" s="89"/>
      <c r="H917" s="89"/>
      <c r="I917" s="89"/>
      <c r="J917" s="89"/>
      <c r="K917" s="89"/>
      <c r="L917" s="89"/>
    </row>
    <row r="918" ht="14.25" customHeight="1">
      <c r="A918" s="89"/>
      <c r="B918" s="89"/>
      <c r="C918" s="89"/>
      <c r="D918" s="89"/>
      <c r="H918" s="89"/>
      <c r="I918" s="89"/>
      <c r="J918" s="89"/>
      <c r="K918" s="89"/>
      <c r="L918" s="89"/>
    </row>
    <row r="919" ht="14.25" customHeight="1">
      <c r="A919" s="89"/>
      <c r="B919" s="89"/>
      <c r="C919" s="89"/>
      <c r="D919" s="89"/>
      <c r="H919" s="89"/>
      <c r="I919" s="89"/>
      <c r="J919" s="89"/>
      <c r="K919" s="89"/>
      <c r="L919" s="89"/>
    </row>
    <row r="920" ht="14.25" customHeight="1">
      <c r="A920" s="89"/>
      <c r="B920" s="89"/>
      <c r="C920" s="89"/>
      <c r="D920" s="89"/>
      <c r="H920" s="89"/>
      <c r="I920" s="89"/>
      <c r="J920" s="89"/>
      <c r="K920" s="89"/>
      <c r="L920" s="89"/>
    </row>
    <row r="921" ht="14.25" customHeight="1">
      <c r="A921" s="89"/>
      <c r="B921" s="89"/>
      <c r="C921" s="89"/>
      <c r="D921" s="89"/>
      <c r="H921" s="89"/>
      <c r="I921" s="89"/>
      <c r="J921" s="89"/>
      <c r="K921" s="89"/>
      <c r="L921" s="89"/>
    </row>
    <row r="922" ht="14.25" customHeight="1">
      <c r="A922" s="89"/>
      <c r="B922" s="89"/>
      <c r="C922" s="89"/>
      <c r="D922" s="89"/>
      <c r="H922" s="89"/>
      <c r="I922" s="89"/>
      <c r="J922" s="89"/>
      <c r="K922" s="89"/>
      <c r="L922" s="89"/>
    </row>
    <row r="923" ht="14.25" customHeight="1">
      <c r="A923" s="89"/>
      <c r="B923" s="89"/>
      <c r="C923" s="89"/>
      <c r="D923" s="89"/>
      <c r="H923" s="89"/>
      <c r="I923" s="89"/>
      <c r="J923" s="89"/>
      <c r="K923" s="89"/>
      <c r="L923" s="89"/>
    </row>
    <row r="924" ht="14.25" customHeight="1">
      <c r="A924" s="89"/>
      <c r="B924" s="89"/>
      <c r="C924" s="89"/>
      <c r="D924" s="89"/>
      <c r="H924" s="89"/>
      <c r="I924" s="89"/>
      <c r="J924" s="89"/>
      <c r="K924" s="89"/>
      <c r="L924" s="89"/>
    </row>
    <row r="925" ht="14.25" customHeight="1">
      <c r="A925" s="89"/>
      <c r="B925" s="89"/>
      <c r="C925" s="89"/>
      <c r="D925" s="89"/>
      <c r="H925" s="89"/>
      <c r="I925" s="89"/>
      <c r="J925" s="89"/>
      <c r="K925" s="89"/>
      <c r="L925" s="89"/>
    </row>
    <row r="926" ht="14.25" customHeight="1">
      <c r="A926" s="89"/>
      <c r="B926" s="89"/>
      <c r="C926" s="89"/>
      <c r="D926" s="89"/>
      <c r="H926" s="89"/>
      <c r="I926" s="89"/>
      <c r="J926" s="89"/>
      <c r="K926" s="89"/>
      <c r="L926" s="89"/>
    </row>
    <row r="927" ht="14.25" customHeight="1">
      <c r="A927" s="89"/>
      <c r="B927" s="89"/>
      <c r="C927" s="89"/>
      <c r="D927" s="89"/>
      <c r="H927" s="89"/>
      <c r="I927" s="89"/>
      <c r="J927" s="89"/>
      <c r="K927" s="89"/>
      <c r="L927" s="89"/>
    </row>
    <row r="928" ht="14.25" customHeight="1">
      <c r="A928" s="89"/>
      <c r="B928" s="89"/>
      <c r="C928" s="89"/>
      <c r="D928" s="89"/>
      <c r="H928" s="89"/>
      <c r="I928" s="89"/>
      <c r="J928" s="89"/>
      <c r="K928" s="89"/>
      <c r="L928" s="89"/>
    </row>
    <row r="929" ht="14.25" customHeight="1">
      <c r="A929" s="89"/>
      <c r="B929" s="89"/>
      <c r="C929" s="89"/>
      <c r="D929" s="89"/>
      <c r="H929" s="89"/>
      <c r="I929" s="89"/>
      <c r="J929" s="89"/>
      <c r="K929" s="89"/>
      <c r="L929" s="89"/>
    </row>
    <row r="930" ht="14.25" customHeight="1">
      <c r="A930" s="89"/>
      <c r="B930" s="89"/>
      <c r="C930" s="89"/>
      <c r="D930" s="89"/>
      <c r="H930" s="89"/>
      <c r="I930" s="89"/>
      <c r="J930" s="89"/>
      <c r="K930" s="89"/>
      <c r="L930" s="89"/>
    </row>
    <row r="931" ht="14.25" customHeight="1">
      <c r="A931" s="89"/>
      <c r="B931" s="89"/>
      <c r="C931" s="89"/>
      <c r="D931" s="89"/>
      <c r="H931" s="89"/>
      <c r="I931" s="89"/>
      <c r="J931" s="89"/>
      <c r="K931" s="89"/>
      <c r="L931" s="89"/>
    </row>
    <row r="932" ht="14.25" customHeight="1">
      <c r="A932" s="89"/>
      <c r="B932" s="89"/>
      <c r="C932" s="89"/>
      <c r="D932" s="89"/>
      <c r="H932" s="89"/>
      <c r="I932" s="89"/>
      <c r="J932" s="89"/>
      <c r="K932" s="89"/>
      <c r="L932" s="89"/>
    </row>
    <row r="933" ht="14.25" customHeight="1">
      <c r="A933" s="89"/>
      <c r="B933" s="89"/>
      <c r="C933" s="89"/>
      <c r="D933" s="89"/>
      <c r="H933" s="89"/>
      <c r="I933" s="89"/>
      <c r="J933" s="89"/>
      <c r="K933" s="89"/>
      <c r="L933" s="89"/>
    </row>
    <row r="934" ht="14.25" customHeight="1">
      <c r="A934" s="89"/>
      <c r="B934" s="89"/>
      <c r="C934" s="89"/>
      <c r="D934" s="89"/>
      <c r="H934" s="89"/>
      <c r="I934" s="89"/>
      <c r="J934" s="89"/>
      <c r="K934" s="89"/>
      <c r="L934" s="89"/>
    </row>
    <row r="935" ht="14.25" customHeight="1">
      <c r="A935" s="89"/>
      <c r="B935" s="89"/>
      <c r="C935" s="89"/>
      <c r="D935" s="89"/>
      <c r="H935" s="89"/>
      <c r="I935" s="89"/>
      <c r="J935" s="89"/>
      <c r="K935" s="89"/>
      <c r="L935" s="89"/>
    </row>
    <row r="936" ht="14.25" customHeight="1">
      <c r="A936" s="89"/>
      <c r="B936" s="89"/>
      <c r="C936" s="89"/>
      <c r="D936" s="89"/>
      <c r="H936" s="89"/>
      <c r="I936" s="89"/>
      <c r="J936" s="89"/>
      <c r="K936" s="89"/>
      <c r="L936" s="89"/>
    </row>
    <row r="937" ht="14.25" customHeight="1">
      <c r="A937" s="89"/>
      <c r="B937" s="89"/>
      <c r="C937" s="89"/>
      <c r="D937" s="89"/>
      <c r="H937" s="89"/>
      <c r="I937" s="89"/>
      <c r="J937" s="89"/>
      <c r="K937" s="89"/>
      <c r="L937" s="89"/>
    </row>
    <row r="938" ht="14.25" customHeight="1">
      <c r="A938" s="89"/>
      <c r="B938" s="89"/>
      <c r="C938" s="89"/>
      <c r="D938" s="89"/>
      <c r="H938" s="89"/>
      <c r="I938" s="89"/>
      <c r="J938" s="89"/>
      <c r="K938" s="89"/>
      <c r="L938" s="89"/>
    </row>
    <row r="939" ht="14.25" customHeight="1">
      <c r="A939" s="89"/>
      <c r="B939" s="89"/>
      <c r="C939" s="89"/>
      <c r="D939" s="89"/>
      <c r="H939" s="89"/>
      <c r="I939" s="89"/>
      <c r="J939" s="89"/>
      <c r="K939" s="89"/>
      <c r="L939" s="89"/>
    </row>
    <row r="940" ht="14.25" customHeight="1">
      <c r="A940" s="89"/>
      <c r="B940" s="89"/>
      <c r="C940" s="89"/>
      <c r="D940" s="89"/>
      <c r="H940" s="89"/>
      <c r="I940" s="89"/>
      <c r="J940" s="89"/>
      <c r="K940" s="89"/>
      <c r="L940" s="89"/>
    </row>
    <row r="941" ht="14.25" customHeight="1">
      <c r="A941" s="89"/>
      <c r="B941" s="89"/>
      <c r="C941" s="89"/>
      <c r="D941" s="89"/>
      <c r="H941" s="89"/>
      <c r="I941" s="89"/>
      <c r="J941" s="89"/>
      <c r="K941" s="89"/>
      <c r="L941" s="89"/>
    </row>
    <row r="942" ht="14.25" customHeight="1">
      <c r="A942" s="89"/>
      <c r="B942" s="89"/>
      <c r="C942" s="89"/>
      <c r="D942" s="89"/>
      <c r="H942" s="89"/>
      <c r="I942" s="89"/>
      <c r="J942" s="89"/>
      <c r="K942" s="89"/>
      <c r="L942" s="89"/>
    </row>
    <row r="943" ht="14.25" customHeight="1">
      <c r="A943" s="89"/>
      <c r="B943" s="89"/>
      <c r="C943" s="89"/>
      <c r="D943" s="89"/>
      <c r="H943" s="89"/>
      <c r="I943" s="89"/>
      <c r="J943" s="89"/>
      <c r="K943" s="89"/>
      <c r="L943" s="89"/>
    </row>
    <row r="944" ht="14.25" customHeight="1">
      <c r="A944" s="89"/>
      <c r="B944" s="89"/>
      <c r="C944" s="89"/>
      <c r="D944" s="89"/>
      <c r="H944" s="89"/>
      <c r="I944" s="89"/>
      <c r="J944" s="89"/>
      <c r="K944" s="89"/>
      <c r="L944" s="89"/>
    </row>
    <row r="945" ht="14.25" customHeight="1">
      <c r="A945" s="89"/>
      <c r="B945" s="89"/>
      <c r="C945" s="89"/>
      <c r="D945" s="89"/>
      <c r="H945" s="89"/>
      <c r="I945" s="89"/>
      <c r="J945" s="89"/>
      <c r="K945" s="89"/>
      <c r="L945" s="89"/>
    </row>
    <row r="946" ht="14.25" customHeight="1">
      <c r="A946" s="89"/>
      <c r="B946" s="89"/>
      <c r="C946" s="89"/>
      <c r="D946" s="89"/>
      <c r="H946" s="89"/>
      <c r="I946" s="89"/>
      <c r="J946" s="89"/>
      <c r="K946" s="89"/>
      <c r="L946" s="89"/>
    </row>
    <row r="947" ht="14.25" customHeight="1">
      <c r="A947" s="89"/>
      <c r="B947" s="89"/>
      <c r="C947" s="89"/>
      <c r="D947" s="89"/>
      <c r="H947" s="89"/>
      <c r="I947" s="89"/>
      <c r="J947" s="89"/>
      <c r="K947" s="89"/>
      <c r="L947" s="89"/>
    </row>
    <row r="948" ht="14.25" customHeight="1">
      <c r="A948" s="89"/>
      <c r="B948" s="89"/>
      <c r="C948" s="89"/>
      <c r="D948" s="89"/>
      <c r="H948" s="89"/>
      <c r="I948" s="89"/>
      <c r="J948" s="89"/>
      <c r="K948" s="89"/>
      <c r="L948" s="89"/>
    </row>
    <row r="949" ht="14.25" customHeight="1">
      <c r="A949" s="89"/>
      <c r="B949" s="89"/>
      <c r="C949" s="89"/>
      <c r="D949" s="89"/>
      <c r="H949" s="89"/>
      <c r="I949" s="89"/>
      <c r="J949" s="89"/>
      <c r="K949" s="89"/>
      <c r="L949" s="89"/>
    </row>
    <row r="950" ht="14.25" customHeight="1">
      <c r="A950" s="89"/>
      <c r="B950" s="89"/>
      <c r="C950" s="89"/>
      <c r="D950" s="89"/>
      <c r="H950" s="89"/>
      <c r="I950" s="89"/>
      <c r="J950" s="89"/>
      <c r="K950" s="89"/>
      <c r="L950" s="89"/>
    </row>
    <row r="951" ht="14.25" customHeight="1">
      <c r="A951" s="89"/>
      <c r="B951" s="89"/>
      <c r="C951" s="89"/>
      <c r="D951" s="89"/>
      <c r="H951" s="89"/>
      <c r="I951" s="89"/>
      <c r="J951" s="89"/>
      <c r="K951" s="89"/>
      <c r="L951" s="89"/>
    </row>
    <row r="952" ht="14.25" customHeight="1">
      <c r="A952" s="89"/>
      <c r="B952" s="89"/>
      <c r="C952" s="89"/>
      <c r="D952" s="89"/>
      <c r="H952" s="89"/>
      <c r="I952" s="89"/>
      <c r="J952" s="89"/>
      <c r="K952" s="89"/>
      <c r="L952" s="89"/>
    </row>
    <row r="953" ht="14.25" customHeight="1">
      <c r="A953" s="89"/>
      <c r="B953" s="89"/>
      <c r="C953" s="89"/>
      <c r="D953" s="89"/>
      <c r="H953" s="89"/>
      <c r="I953" s="89"/>
      <c r="J953" s="89"/>
      <c r="K953" s="89"/>
      <c r="L953" s="89"/>
    </row>
    <row r="954" ht="14.25" customHeight="1">
      <c r="A954" s="89"/>
      <c r="B954" s="89"/>
      <c r="C954" s="89"/>
      <c r="D954" s="89"/>
      <c r="H954" s="89"/>
      <c r="I954" s="89"/>
      <c r="J954" s="89"/>
      <c r="K954" s="89"/>
      <c r="L954" s="89"/>
    </row>
    <row r="955" ht="14.25" customHeight="1">
      <c r="A955" s="89"/>
      <c r="B955" s="89"/>
      <c r="C955" s="89"/>
      <c r="D955" s="89"/>
      <c r="H955" s="89"/>
      <c r="I955" s="89"/>
      <c r="J955" s="89"/>
      <c r="K955" s="89"/>
      <c r="L955" s="89"/>
    </row>
    <row r="956" ht="14.25" customHeight="1">
      <c r="A956" s="89"/>
      <c r="B956" s="89"/>
      <c r="C956" s="89"/>
      <c r="D956" s="89"/>
      <c r="H956" s="89"/>
      <c r="I956" s="89"/>
      <c r="J956" s="89"/>
      <c r="K956" s="89"/>
      <c r="L956" s="89"/>
    </row>
    <row r="957" ht="14.25" customHeight="1">
      <c r="A957" s="89"/>
      <c r="B957" s="89"/>
      <c r="C957" s="89"/>
      <c r="D957" s="89"/>
      <c r="H957" s="89"/>
      <c r="I957" s="89"/>
      <c r="J957" s="89"/>
      <c r="K957" s="89"/>
      <c r="L957" s="89"/>
    </row>
    <row r="958" ht="14.25" customHeight="1">
      <c r="A958" s="89"/>
      <c r="B958" s="89"/>
      <c r="C958" s="89"/>
      <c r="D958" s="89"/>
      <c r="H958" s="89"/>
      <c r="I958" s="89"/>
      <c r="J958" s="89"/>
      <c r="K958" s="89"/>
      <c r="L958" s="89"/>
    </row>
    <row r="959" ht="14.25" customHeight="1">
      <c r="A959" s="89"/>
      <c r="B959" s="89"/>
      <c r="C959" s="89"/>
      <c r="D959" s="89"/>
      <c r="H959" s="89"/>
      <c r="I959" s="89"/>
      <c r="J959" s="89"/>
      <c r="K959" s="89"/>
      <c r="L959" s="89"/>
    </row>
    <row r="960" ht="14.25" customHeight="1">
      <c r="A960" s="89"/>
      <c r="B960" s="89"/>
      <c r="C960" s="89"/>
      <c r="D960" s="89"/>
      <c r="H960" s="89"/>
      <c r="I960" s="89"/>
      <c r="J960" s="89"/>
      <c r="K960" s="89"/>
      <c r="L960" s="89"/>
    </row>
    <row r="961" ht="14.25" customHeight="1">
      <c r="A961" s="89"/>
      <c r="B961" s="89"/>
      <c r="C961" s="89"/>
      <c r="D961" s="89"/>
      <c r="H961" s="89"/>
      <c r="I961" s="89"/>
      <c r="J961" s="89"/>
      <c r="K961" s="89"/>
      <c r="L961" s="89"/>
    </row>
    <row r="962" ht="14.25" customHeight="1">
      <c r="A962" s="89"/>
      <c r="B962" s="89"/>
      <c r="C962" s="89"/>
      <c r="D962" s="89"/>
      <c r="H962" s="89"/>
      <c r="I962" s="89"/>
      <c r="J962" s="89"/>
      <c r="K962" s="89"/>
      <c r="L962" s="89"/>
    </row>
    <row r="963" ht="14.25" customHeight="1">
      <c r="A963" s="89"/>
      <c r="B963" s="89"/>
      <c r="C963" s="89"/>
      <c r="D963" s="89"/>
      <c r="H963" s="89"/>
      <c r="I963" s="89"/>
      <c r="J963" s="89"/>
      <c r="K963" s="89"/>
      <c r="L963" s="89"/>
    </row>
    <row r="964" ht="14.25" customHeight="1">
      <c r="A964" s="89"/>
      <c r="B964" s="89"/>
      <c r="C964" s="89"/>
      <c r="D964" s="89"/>
      <c r="H964" s="89"/>
      <c r="I964" s="89"/>
      <c r="J964" s="89"/>
      <c r="K964" s="89"/>
      <c r="L964" s="89"/>
    </row>
    <row r="965" ht="14.25" customHeight="1">
      <c r="A965" s="89"/>
      <c r="B965" s="89"/>
      <c r="C965" s="89"/>
      <c r="D965" s="89"/>
      <c r="H965" s="89"/>
      <c r="I965" s="89"/>
      <c r="J965" s="89"/>
      <c r="K965" s="89"/>
      <c r="L965" s="89"/>
    </row>
    <row r="966" ht="14.25" customHeight="1">
      <c r="A966" s="89"/>
      <c r="B966" s="89"/>
      <c r="C966" s="89"/>
      <c r="D966" s="89"/>
      <c r="H966" s="89"/>
      <c r="I966" s="89"/>
      <c r="J966" s="89"/>
      <c r="K966" s="89"/>
      <c r="L966" s="89"/>
    </row>
    <row r="967" ht="14.25" customHeight="1">
      <c r="A967" s="89"/>
      <c r="B967" s="89"/>
      <c r="C967" s="89"/>
      <c r="D967" s="89"/>
      <c r="H967" s="89"/>
      <c r="I967" s="89"/>
      <c r="J967" s="89"/>
      <c r="K967" s="89"/>
      <c r="L967" s="89"/>
    </row>
    <row r="968" ht="14.25" customHeight="1">
      <c r="A968" s="89"/>
      <c r="B968" s="89"/>
      <c r="C968" s="89"/>
      <c r="D968" s="89"/>
      <c r="H968" s="89"/>
      <c r="I968" s="89"/>
      <c r="J968" s="89"/>
      <c r="K968" s="89"/>
      <c r="L968" s="89"/>
    </row>
    <row r="969" ht="14.25" customHeight="1">
      <c r="A969" s="89"/>
      <c r="B969" s="89"/>
      <c r="C969" s="89"/>
      <c r="D969" s="89"/>
      <c r="H969" s="89"/>
      <c r="I969" s="89"/>
      <c r="J969" s="89"/>
      <c r="K969" s="89"/>
      <c r="L969" s="89"/>
    </row>
    <row r="970" ht="14.25" customHeight="1">
      <c r="A970" s="89"/>
      <c r="B970" s="89"/>
      <c r="C970" s="89"/>
      <c r="D970" s="89"/>
      <c r="H970" s="89"/>
      <c r="I970" s="89"/>
      <c r="J970" s="89"/>
      <c r="K970" s="89"/>
      <c r="L970" s="89"/>
    </row>
    <row r="971" ht="14.25" customHeight="1">
      <c r="A971" s="89"/>
      <c r="B971" s="89"/>
      <c r="C971" s="89"/>
      <c r="D971" s="89"/>
      <c r="H971" s="89"/>
      <c r="I971" s="89"/>
      <c r="J971" s="89"/>
      <c r="K971" s="89"/>
      <c r="L971" s="89"/>
    </row>
    <row r="972" ht="14.25" customHeight="1">
      <c r="A972" s="89"/>
      <c r="B972" s="89"/>
      <c r="C972" s="89"/>
      <c r="D972" s="89"/>
      <c r="H972" s="89"/>
      <c r="I972" s="89"/>
      <c r="J972" s="89"/>
      <c r="K972" s="89"/>
      <c r="L972" s="89"/>
    </row>
    <row r="973" ht="14.25" customHeight="1">
      <c r="A973" s="89"/>
      <c r="B973" s="89"/>
      <c r="C973" s="89"/>
      <c r="D973" s="89"/>
      <c r="H973" s="89"/>
      <c r="I973" s="89"/>
      <c r="J973" s="89"/>
      <c r="K973" s="89"/>
      <c r="L973" s="89"/>
    </row>
    <row r="974" ht="14.25" customHeight="1">
      <c r="A974" s="89"/>
      <c r="B974" s="89"/>
      <c r="C974" s="89"/>
      <c r="D974" s="89"/>
      <c r="H974" s="89"/>
      <c r="I974" s="89"/>
      <c r="J974" s="89"/>
      <c r="K974" s="89"/>
      <c r="L974" s="89"/>
    </row>
    <row r="975" ht="14.25" customHeight="1">
      <c r="A975" s="89"/>
      <c r="B975" s="89"/>
      <c r="C975" s="89"/>
      <c r="D975" s="89"/>
      <c r="H975" s="89"/>
      <c r="I975" s="89"/>
      <c r="J975" s="89"/>
      <c r="K975" s="89"/>
      <c r="L975" s="89"/>
    </row>
    <row r="976" ht="14.25" customHeight="1">
      <c r="A976" s="89"/>
      <c r="B976" s="89"/>
      <c r="C976" s="89"/>
      <c r="D976" s="89"/>
      <c r="H976" s="89"/>
      <c r="I976" s="89"/>
      <c r="J976" s="89"/>
      <c r="K976" s="89"/>
      <c r="L976" s="89"/>
    </row>
    <row r="977" ht="14.25" customHeight="1">
      <c r="A977" s="89"/>
      <c r="B977" s="89"/>
      <c r="C977" s="89"/>
      <c r="D977" s="89"/>
      <c r="H977" s="89"/>
      <c r="I977" s="89"/>
      <c r="J977" s="89"/>
      <c r="K977" s="89"/>
      <c r="L977" s="89"/>
    </row>
    <row r="978" ht="14.25" customHeight="1">
      <c r="A978" s="89"/>
      <c r="B978" s="89"/>
      <c r="C978" s="89"/>
      <c r="D978" s="89"/>
      <c r="H978" s="89"/>
      <c r="I978" s="89"/>
      <c r="J978" s="89"/>
      <c r="K978" s="89"/>
      <c r="L978" s="89"/>
    </row>
    <row r="979" ht="14.25" customHeight="1">
      <c r="A979" s="89"/>
      <c r="B979" s="89"/>
      <c r="C979" s="89"/>
      <c r="D979" s="89"/>
      <c r="H979" s="89"/>
      <c r="I979" s="89"/>
      <c r="J979" s="89"/>
      <c r="K979" s="89"/>
      <c r="L979" s="89"/>
    </row>
    <row r="980" ht="14.25" customHeight="1">
      <c r="A980" s="89"/>
      <c r="B980" s="89"/>
      <c r="C980" s="89"/>
      <c r="D980" s="89"/>
      <c r="H980" s="89"/>
      <c r="I980" s="89"/>
      <c r="J980" s="89"/>
      <c r="K980" s="89"/>
      <c r="L980" s="89"/>
    </row>
    <row r="981" ht="14.25" customHeight="1">
      <c r="A981" s="89"/>
      <c r="B981" s="89"/>
      <c r="C981" s="89"/>
      <c r="D981" s="89"/>
      <c r="H981" s="89"/>
      <c r="I981" s="89"/>
      <c r="J981" s="89"/>
      <c r="K981" s="89"/>
      <c r="L981" s="89"/>
    </row>
    <row r="982" ht="14.25" customHeight="1">
      <c r="A982" s="89"/>
      <c r="B982" s="89"/>
      <c r="C982" s="89"/>
      <c r="D982" s="89"/>
      <c r="H982" s="89"/>
      <c r="I982" s="89"/>
      <c r="J982" s="89"/>
      <c r="K982" s="89"/>
      <c r="L982" s="89"/>
    </row>
    <row r="983" ht="14.25" customHeight="1">
      <c r="A983" s="89"/>
      <c r="B983" s="89"/>
      <c r="C983" s="89"/>
      <c r="D983" s="89"/>
      <c r="H983" s="89"/>
      <c r="I983" s="89"/>
      <c r="J983" s="89"/>
      <c r="K983" s="89"/>
      <c r="L983" s="89"/>
    </row>
    <row r="984" ht="14.25" customHeight="1">
      <c r="A984" s="89"/>
      <c r="B984" s="89"/>
      <c r="C984" s="89"/>
      <c r="D984" s="89"/>
      <c r="H984" s="89"/>
      <c r="I984" s="89"/>
      <c r="J984" s="89"/>
      <c r="K984" s="89"/>
      <c r="L984" s="89"/>
    </row>
    <row r="985" ht="14.25" customHeight="1">
      <c r="A985" s="89"/>
      <c r="B985" s="89"/>
      <c r="C985" s="89"/>
      <c r="D985" s="89"/>
      <c r="H985" s="89"/>
      <c r="I985" s="89"/>
      <c r="J985" s="89"/>
      <c r="K985" s="89"/>
      <c r="L985" s="89"/>
    </row>
    <row r="986" ht="14.25" customHeight="1">
      <c r="A986" s="89"/>
      <c r="B986" s="89"/>
      <c r="C986" s="89"/>
      <c r="D986" s="89"/>
      <c r="H986" s="89"/>
      <c r="I986" s="89"/>
      <c r="J986" s="89"/>
      <c r="K986" s="89"/>
      <c r="L986" s="89"/>
    </row>
    <row r="987" ht="14.25" customHeight="1">
      <c r="A987" s="89"/>
      <c r="B987" s="89"/>
      <c r="C987" s="89"/>
      <c r="D987" s="89"/>
      <c r="H987" s="89"/>
      <c r="I987" s="89"/>
      <c r="J987" s="89"/>
      <c r="K987" s="89"/>
      <c r="L987" s="89"/>
    </row>
    <row r="988" ht="14.25" customHeight="1">
      <c r="A988" s="89"/>
      <c r="B988" s="89"/>
      <c r="C988" s="89"/>
      <c r="D988" s="89"/>
      <c r="H988" s="89"/>
      <c r="I988" s="89"/>
      <c r="J988" s="89"/>
      <c r="K988" s="89"/>
      <c r="L988" s="89"/>
    </row>
    <row r="989" ht="14.25" customHeight="1">
      <c r="A989" s="89"/>
      <c r="B989" s="89"/>
      <c r="C989" s="89"/>
      <c r="D989" s="89"/>
      <c r="H989" s="89"/>
      <c r="I989" s="89"/>
      <c r="J989" s="89"/>
      <c r="K989" s="89"/>
      <c r="L989" s="89"/>
    </row>
    <row r="990" ht="14.25" customHeight="1">
      <c r="A990" s="89"/>
      <c r="B990" s="89"/>
      <c r="C990" s="89"/>
      <c r="D990" s="89"/>
      <c r="H990" s="89"/>
      <c r="I990" s="89"/>
      <c r="J990" s="89"/>
      <c r="K990" s="89"/>
      <c r="L990" s="89"/>
    </row>
    <row r="991" ht="14.25" customHeight="1">
      <c r="A991" s="89"/>
      <c r="B991" s="89"/>
      <c r="C991" s="89"/>
      <c r="D991" s="89"/>
      <c r="H991" s="89"/>
      <c r="I991" s="89"/>
      <c r="J991" s="89"/>
      <c r="K991" s="89"/>
      <c r="L991" s="89"/>
    </row>
    <row r="992" ht="14.25" customHeight="1">
      <c r="A992" s="89"/>
      <c r="B992" s="89"/>
      <c r="C992" s="89"/>
      <c r="D992" s="89"/>
      <c r="H992" s="89"/>
      <c r="I992" s="89"/>
      <c r="J992" s="89"/>
      <c r="K992" s="89"/>
      <c r="L992" s="89"/>
    </row>
    <row r="993" ht="14.25" customHeight="1">
      <c r="A993" s="89"/>
      <c r="B993" s="89"/>
      <c r="C993" s="89"/>
      <c r="D993" s="89"/>
      <c r="H993" s="89"/>
      <c r="I993" s="89"/>
      <c r="J993" s="89"/>
      <c r="K993" s="89"/>
      <c r="L993" s="89"/>
    </row>
    <row r="994" ht="14.25" customHeight="1">
      <c r="A994" s="89"/>
      <c r="B994" s="89"/>
      <c r="C994" s="89"/>
      <c r="D994" s="89"/>
      <c r="H994" s="89"/>
      <c r="I994" s="89"/>
      <c r="J994" s="89"/>
      <c r="K994" s="89"/>
      <c r="L994" s="89"/>
    </row>
    <row r="995" ht="14.25" customHeight="1">
      <c r="A995" s="89"/>
      <c r="B995" s="89"/>
      <c r="C995" s="89"/>
      <c r="D995" s="89"/>
      <c r="H995" s="89"/>
      <c r="I995" s="89"/>
      <c r="J995" s="89"/>
      <c r="K995" s="89"/>
      <c r="L995" s="89"/>
    </row>
    <row r="996" ht="14.25" customHeight="1">
      <c r="A996" s="89"/>
      <c r="B996" s="89"/>
      <c r="C996" s="89"/>
      <c r="D996" s="89"/>
      <c r="H996" s="89"/>
      <c r="I996" s="89"/>
      <c r="J996" s="89"/>
      <c r="K996" s="89"/>
      <c r="L996" s="89"/>
    </row>
    <row r="997" ht="14.25" customHeight="1">
      <c r="A997" s="89"/>
      <c r="B997" s="89"/>
      <c r="C997" s="89"/>
      <c r="D997" s="89"/>
      <c r="H997" s="89"/>
      <c r="I997" s="89"/>
      <c r="J997" s="89"/>
      <c r="K997" s="89"/>
      <c r="L997" s="89"/>
    </row>
    <row r="998" ht="14.25" customHeight="1">
      <c r="A998" s="89"/>
      <c r="B998" s="89"/>
      <c r="C998" s="89"/>
      <c r="D998" s="89"/>
      <c r="H998" s="89"/>
      <c r="I998" s="89"/>
      <c r="J998" s="89"/>
      <c r="K998" s="89"/>
      <c r="L998" s="89"/>
    </row>
    <row r="999" ht="14.25" customHeight="1">
      <c r="A999" s="89"/>
      <c r="B999" s="89"/>
      <c r="C999" s="89"/>
      <c r="D999" s="89"/>
      <c r="H999" s="89"/>
      <c r="I999" s="89"/>
      <c r="J999" s="89"/>
      <c r="K999" s="89"/>
      <c r="L999" s="89"/>
    </row>
    <row r="1000" ht="14.25" customHeight="1">
      <c r="A1000" s="89"/>
      <c r="B1000" s="89"/>
      <c r="C1000" s="89"/>
      <c r="D1000" s="89"/>
      <c r="H1000" s="89"/>
      <c r="I1000" s="89"/>
      <c r="J1000" s="89"/>
      <c r="K1000" s="89"/>
      <c r="L1000" s="89"/>
    </row>
  </sheetData>
  <mergeCells count="1">
    <mergeCell ref="A1:M1"/>
  </mergeCells>
  <dataValidations>
    <dataValidation type="list" allowBlank="1" sqref="E3:E500">
      <formula1>"Blocker,Critical,Major,Minor,Trivial"</formula1>
    </dataValidation>
    <dataValidation type="list" allowBlank="1" sqref="G3:G500">
      <formula1>"New,Open,In Progress,Fixed,Closed,Reopened,Won't Fix"</formula1>
    </dataValidation>
    <dataValidation type="list" allowBlank="1" sqref="D3:D500">
      <formula1>"Critical,Major,Minor,Trivial"</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CC"/>
    <pageSetUpPr/>
  </sheetPr>
  <sheetViews>
    <sheetView showGridLines="0" workbookViewId="0"/>
  </sheetViews>
  <sheetFormatPr customHeight="1" defaultColWidth="14.43" defaultRowHeight="15.0"/>
  <cols>
    <col customWidth="1" min="1" max="1" width="8.0"/>
    <col customWidth="1" min="2" max="2" width="31.86"/>
    <col customWidth="1" min="3" max="3" width="32.57"/>
    <col customWidth="1" min="4" max="4" width="38.57"/>
    <col customWidth="1" min="5" max="5" width="24.29"/>
    <col customWidth="1" min="6" max="6" width="25.29"/>
    <col customWidth="1" min="7" max="26" width="8.71"/>
  </cols>
  <sheetData>
    <row r="1" ht="36.0" customHeight="1">
      <c r="A1" s="1"/>
      <c r="B1" s="2" t="s">
        <v>2720</v>
      </c>
      <c r="C1" s="3"/>
      <c r="D1" s="3"/>
      <c r="E1" s="3"/>
      <c r="F1" s="72"/>
    </row>
    <row r="2" ht="18.0" customHeight="1">
      <c r="A2" s="1"/>
      <c r="B2" s="1"/>
      <c r="C2" s="1"/>
      <c r="D2" s="1"/>
      <c r="E2" s="1"/>
      <c r="F2" s="1"/>
    </row>
    <row r="3" ht="31.5" customHeight="1">
      <c r="A3" s="1"/>
      <c r="B3" s="91" t="s">
        <v>2721</v>
      </c>
      <c r="C3" s="3"/>
      <c r="D3" s="3"/>
      <c r="E3" s="3"/>
      <c r="F3" s="72"/>
    </row>
    <row r="4" ht="18.0" customHeight="1">
      <c r="A4" s="1"/>
      <c r="B4" s="1"/>
      <c r="C4" s="1"/>
      <c r="D4" s="1"/>
      <c r="E4" s="1"/>
      <c r="F4" s="1"/>
    </row>
    <row r="5" ht="37.5" customHeight="1">
      <c r="A5" s="1"/>
      <c r="B5" s="92" t="s">
        <v>14</v>
      </c>
      <c r="C5" s="93" t="s">
        <v>48</v>
      </c>
      <c r="D5" s="94" t="s">
        <v>51</v>
      </c>
      <c r="E5" s="95" t="s">
        <v>54</v>
      </c>
      <c r="F5" s="96" t="s">
        <v>57</v>
      </c>
    </row>
    <row r="6" ht="35.25" customHeight="1">
      <c r="A6" s="1"/>
      <c r="B6" s="97">
        <f>COUNTIF('🧪 Test Cases'!D3:D360,"P*")</f>
        <v>358</v>
      </c>
      <c r="C6" s="98">
        <f>COUNTIF('🧪 Test Cases'!D3:D360,"P0")</f>
        <v>7</v>
      </c>
      <c r="D6" s="99">
        <f>COUNTIF('🧪 Test Cases'!D3:D360,"P1")</f>
        <v>181</v>
      </c>
      <c r="E6" s="100">
        <f>COUNTIF('🧪 Test Cases'!D3:D360,"P2")</f>
        <v>121</v>
      </c>
      <c r="F6" s="101">
        <f>COUNTIF('🧪 Test Cases'!D3:D360,"P3")</f>
        <v>49</v>
      </c>
    </row>
    <row r="7" ht="18.0" customHeight="1">
      <c r="A7" s="1"/>
      <c r="B7" s="1"/>
      <c r="C7" s="1"/>
      <c r="D7" s="1"/>
      <c r="E7" s="1"/>
      <c r="F7" s="1"/>
    </row>
    <row r="8" ht="30.0" customHeight="1">
      <c r="A8" s="1"/>
      <c r="B8" s="91" t="s">
        <v>2722</v>
      </c>
      <c r="C8" s="3"/>
      <c r="D8" s="3"/>
      <c r="E8" s="3"/>
      <c r="F8" s="72"/>
    </row>
    <row r="9" ht="18.0" customHeight="1">
      <c r="A9" s="1"/>
      <c r="B9" s="1"/>
      <c r="C9" s="1"/>
      <c r="D9" s="1"/>
      <c r="E9" s="1"/>
      <c r="F9" s="1"/>
    </row>
    <row r="10" ht="33.0" customHeight="1">
      <c r="A10" s="1"/>
      <c r="B10" s="96" t="s">
        <v>84</v>
      </c>
      <c r="C10" s="93" t="s">
        <v>96</v>
      </c>
      <c r="D10" s="94" t="s">
        <v>464</v>
      </c>
      <c r="E10" s="102" t="s">
        <v>1144</v>
      </c>
      <c r="F10" s="95" t="s">
        <v>2723</v>
      </c>
    </row>
    <row r="11" ht="33.75" customHeight="1">
      <c r="A11" s="1"/>
      <c r="B11" s="103">
        <f>COUNTIF('🧪 Test Cases'!K3:K360,"Pass")</f>
        <v>294</v>
      </c>
      <c r="C11" s="104">
        <f>COUNTIF('🧪 Test Cases'!K3:K360,"Fail")</f>
        <v>59</v>
      </c>
      <c r="D11" s="105">
        <f>COUNTIF('🧪 Test Cases'!K3:K360,"Blocked")</f>
        <v>4</v>
      </c>
      <c r="E11" s="106">
        <f>COUNTIF('🧪 Test Cases'!K3:K360,"Pending")</f>
        <v>1</v>
      </c>
      <c r="F11" s="107">
        <f>COUNTIF('🧪 Test Cases'!K3:K360,"In Progress")</f>
        <v>0</v>
      </c>
    </row>
    <row r="12" ht="18.0" customHeight="1">
      <c r="A12" s="1"/>
      <c r="B12" s="1"/>
      <c r="C12" s="1"/>
      <c r="D12" s="1"/>
      <c r="E12" s="1"/>
      <c r="F12" s="1"/>
    </row>
    <row r="13" ht="30.0" customHeight="1">
      <c r="A13" s="1"/>
      <c r="B13" s="91" t="s">
        <v>2724</v>
      </c>
      <c r="C13" s="3"/>
      <c r="D13" s="3"/>
      <c r="E13" s="3"/>
      <c r="F13" s="72"/>
    </row>
    <row r="14" ht="18.0" customHeight="1">
      <c r="A14" s="1"/>
      <c r="B14" s="1"/>
      <c r="C14" s="1"/>
      <c r="D14" s="1"/>
      <c r="E14" s="1"/>
      <c r="F14" s="1"/>
    </row>
    <row r="15" ht="42.0" customHeight="1">
      <c r="A15" s="1"/>
      <c r="B15" s="108" t="s">
        <v>2725</v>
      </c>
      <c r="C15" s="108" t="s">
        <v>2726</v>
      </c>
      <c r="D15" s="109" t="s">
        <v>2727</v>
      </c>
      <c r="E15" s="3"/>
      <c r="F15" s="72"/>
    </row>
    <row r="16" ht="30.0" customHeight="1">
      <c r="A16" s="1"/>
      <c r="B16" s="110" t="s">
        <v>2728</v>
      </c>
      <c r="C16" s="111">
        <f>ROUND(B11/B6*100,2)</f>
        <v>82.12</v>
      </c>
      <c r="D16" s="8" t="s">
        <v>2729</v>
      </c>
      <c r="E16" s="3"/>
      <c r="F16" s="112"/>
    </row>
    <row r="17" ht="30.0" customHeight="1">
      <c r="A17" s="1"/>
      <c r="B17" s="113" t="s">
        <v>2730</v>
      </c>
      <c r="C17" s="114">
        <f>ROUND(C11/B6*100,2)</f>
        <v>16.48</v>
      </c>
      <c r="D17" s="11" t="s">
        <v>2731</v>
      </c>
      <c r="E17" s="3"/>
      <c r="F17" s="112"/>
    </row>
    <row r="18" ht="30.0" customHeight="1">
      <c r="A18" s="1"/>
      <c r="B18" s="110" t="s">
        <v>2732</v>
      </c>
      <c r="C18" s="111">
        <f>ROUND((B11+C11+D11)/B6*100,2)</f>
        <v>99.72</v>
      </c>
      <c r="D18" s="8" t="s">
        <v>2733</v>
      </c>
      <c r="E18" s="3"/>
      <c r="F18" s="112"/>
    </row>
    <row r="19" ht="30.0" customHeight="1">
      <c r="A19" s="1"/>
      <c r="B19" s="113" t="s">
        <v>2734</v>
      </c>
      <c r="C19" s="114">
        <f>COUNTIF('🧪 Test Cases'!K3:K360,"Pending")</f>
        <v>1</v>
      </c>
      <c r="D19" s="11" t="s">
        <v>2735</v>
      </c>
      <c r="E19" s="3"/>
      <c r="F19" s="112"/>
    </row>
    <row r="20" ht="18.0" customHeight="1">
      <c r="A20" s="1"/>
      <c r="B20" s="1"/>
      <c r="C20" s="1"/>
      <c r="D20" s="1"/>
      <c r="E20" s="1"/>
      <c r="F20" s="1"/>
    </row>
    <row r="21" ht="23.25" customHeight="1">
      <c r="A21" s="1"/>
      <c r="B21" s="91" t="s">
        <v>2736</v>
      </c>
      <c r="C21" s="3"/>
      <c r="D21" s="3"/>
      <c r="E21" s="3"/>
      <c r="F21" s="4"/>
    </row>
    <row r="22" ht="18.0" customHeight="1">
      <c r="A22" s="1"/>
      <c r="B22" s="1"/>
      <c r="C22" s="1"/>
      <c r="D22" s="1"/>
      <c r="E22" s="1"/>
      <c r="F22" s="1"/>
    </row>
    <row r="23" ht="33.75" customHeight="1">
      <c r="A23" s="1"/>
      <c r="B23" s="108" t="s">
        <v>2725</v>
      </c>
      <c r="C23" s="108" t="s">
        <v>2737</v>
      </c>
      <c r="D23" s="108" t="s">
        <v>2738</v>
      </c>
      <c r="E23" s="109" t="s">
        <v>2739</v>
      </c>
      <c r="F23" s="4"/>
    </row>
    <row r="24" ht="31.5" customHeight="1">
      <c r="A24" s="1"/>
      <c r="B24" s="110" t="s">
        <v>2740</v>
      </c>
      <c r="C24" s="115">
        <f>COUNTA('🐞 Bug Log'!A3:A100)</f>
        <v>59</v>
      </c>
      <c r="D24" s="115" t="s">
        <v>86</v>
      </c>
      <c r="E24" s="8" t="s">
        <v>2741</v>
      </c>
      <c r="F24" s="112"/>
    </row>
    <row r="25" ht="31.5" customHeight="1">
      <c r="A25" s="1"/>
      <c r="B25" s="113" t="s">
        <v>2742</v>
      </c>
      <c r="C25" s="116">
        <f>COUNTIFS('🐞 Bug Log'!F3:F100,"P0",'🐞 Bug Log'!G3:G100,"Open")+COUNTIFS('🐞 Bug Log'!F3:F100,"P1",'🐞 Bug Log'!G3:G100,"Open")</f>
        <v>41</v>
      </c>
      <c r="D25" s="117">
        <f>IFERROR(ROUND(C25/C24*100,2),"—")</f>
        <v>69.49</v>
      </c>
      <c r="E25" s="11" t="s">
        <v>2743</v>
      </c>
      <c r="F25" s="112"/>
    </row>
    <row r="26" ht="31.5" customHeight="1">
      <c r="A26" s="1"/>
      <c r="B26" s="110" t="s">
        <v>2744</v>
      </c>
      <c r="C26" s="115">
        <f>COUNTIF('🐞 Bug Log'!G3:G100,"Open")</f>
        <v>59</v>
      </c>
      <c r="D26" s="118">
        <f>IFERROR(ROUND(C26/C24*100,2),"—")</f>
        <v>100</v>
      </c>
      <c r="E26" s="8" t="s">
        <v>2745</v>
      </c>
      <c r="F26" s="112"/>
    </row>
    <row r="27" ht="18.0" customHeight="1">
      <c r="A27" s="1"/>
      <c r="B27" s="1"/>
      <c r="C27" s="1"/>
      <c r="D27" s="1"/>
      <c r="E27" s="1"/>
      <c r="F27" s="1"/>
    </row>
    <row r="28" ht="21.7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21.75" customHeight="1"/>
    <row r="44" ht="21.75" customHeight="1"/>
    <row r="45" ht="21.75" customHeight="1"/>
    <row r="46" ht="21.75" customHeight="1"/>
    <row r="47" ht="21.75" customHeight="1"/>
    <row r="48" ht="21.75" customHeight="1"/>
    <row r="49" ht="21.7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D18:F18"/>
    <mergeCell ref="D19:F19"/>
    <mergeCell ref="B21:F21"/>
    <mergeCell ref="E23:F23"/>
    <mergeCell ref="E24:F24"/>
    <mergeCell ref="E25:F25"/>
    <mergeCell ref="E26:F26"/>
    <mergeCell ref="B1:F1"/>
    <mergeCell ref="B3:F3"/>
    <mergeCell ref="B8:F8"/>
    <mergeCell ref="B13:F13"/>
    <mergeCell ref="D15:F15"/>
    <mergeCell ref="D16:F16"/>
    <mergeCell ref="D17:F17"/>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2026-04-09T15:56:18Z</dcterms:created>
  <dc:creator>openpyxl</dc:creator>
</cp:coreProperties>
</file>